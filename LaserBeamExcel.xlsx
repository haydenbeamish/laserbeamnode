
<file path=[Content_Types].xml><?xml version="1.0" encoding="utf-8"?>
<Types xmlns="http://schemas.openxmlformats.org/package/2006/content-types">
  <Default Extension="png" ContentType="image/png"/>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547d34d538d5a214/Desktop/"/>
    </mc:Choice>
  </mc:AlternateContent>
  <xr:revisionPtr revIDLastSave="0" documentId="8_{5F60E2F0-575E-4A08-ABF9-32171979650C}" xr6:coauthVersionLast="47" xr6:coauthVersionMax="47" xr10:uidLastSave="{00000000-0000-0000-0000-000000000000}"/>
  <bookViews>
    <workbookView xWindow="1380" yWindow="830" windowWidth="17250" windowHeight="19960" tabRatio="500" firstSheet="4" activeTab="7" xr2:uid="{00000000-000D-0000-FFFF-FFFF00000000}"/>
  </bookViews>
  <sheets>
    <sheet name="Instructions - New month" sheetId="1" state="hidden" r:id="rId1"/>
    <sheet name="Newsletter" sheetId="2" r:id="rId2"/>
    <sheet name="Performancedata" sheetId="3" r:id="rId3"/>
    <sheet name="Performance" sheetId="5" r:id="rId4"/>
    <sheet name="Holdings" sheetId="6" r:id="rId5"/>
    <sheet name="Stats" sheetId="7" r:id="rId6"/>
    <sheet name="TheFund" sheetId="8" r:id="rId7"/>
    <sheet name="Exposure" sheetId="9" r:id="rId8"/>
    <sheet name="Text" sheetId="10" r:id="rId9"/>
  </sheets>
  <externalReferences>
    <externalReference r:id="rId10"/>
    <externalReference r:id="rId11"/>
  </externalReferences>
  <definedNames>
    <definedName name="_xleta.GROWTH" hidden="1">#NAME?</definedName>
    <definedName name="MarketCapExposureTable">Exposure!$G$1:$I$6</definedName>
    <definedName name="NetExposureTable">Exposure!$A$1:$B$4</definedName>
    <definedName name="PerformanceChartTable">Table1[#All]</definedName>
    <definedName name="SectorExposureTable">Exposure!$D$1:$E$10</definedName>
    <definedName name="Statisticstable">Stats!$A$1:$B$10</definedName>
    <definedName name="TextBlocksTable">Text!$A$1:$B$5</definedName>
    <definedName name="TheFundTable">TheFund!$A$1:$B$10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 i="5" l="1"/>
  <c r="E5" i="5"/>
  <c r="E3" i="5"/>
  <c r="E2" i="5"/>
  <c r="B6" i="5"/>
  <c r="N18" i="2"/>
  <c r="L18" i="2"/>
  <c r="J18" i="2"/>
  <c r="H18" i="2"/>
  <c r="S7" i="3"/>
  <c r="B4" i="3"/>
  <c r="B5" i="3"/>
  <c r="B6" i="3"/>
  <c r="B3" i="3"/>
  <c r="B7" i="3" l="1"/>
  <c r="C7" i="3" s="1"/>
  <c r="D7" i="3" l="1"/>
  <c r="J7" i="3"/>
  <c r="M7" i="3"/>
  <c r="N7" i="3"/>
  <c r="H7" i="3" l="1"/>
  <c r="E7" i="3"/>
  <c r="F7" i="3" s="1"/>
  <c r="G7" i="3" s="1"/>
  <c r="B10" i="8" l="1"/>
  <c r="A10" i="8"/>
  <c r="B9" i="8"/>
  <c r="A9" i="8"/>
  <c r="B8" i="8"/>
  <c r="A8" i="8"/>
  <c r="B7" i="8"/>
  <c r="A7" i="8"/>
  <c r="B6" i="8"/>
  <c r="A6" i="8"/>
  <c r="B5" i="8"/>
  <c r="A5" i="8"/>
  <c r="B4" i="8"/>
  <c r="A4" i="8"/>
  <c r="B3" i="8"/>
  <c r="A3" i="8"/>
  <c r="B2" i="8"/>
  <c r="A2" i="8"/>
  <c r="CB29" i="3"/>
  <c r="CC21" i="3"/>
  <c r="CC19" i="3"/>
  <c r="BS14" i="3"/>
  <c r="CR12" i="3"/>
  <c r="CQ12" i="3"/>
  <c r="CP12" i="3"/>
  <c r="CB12" i="3"/>
  <c r="CR11" i="3"/>
  <c r="CQ11" i="3"/>
  <c r="CP11" i="3"/>
  <c r="CB11" i="3"/>
  <c r="CJ10" i="3"/>
  <c r="CQ10" i="3" s="1"/>
  <c r="CR10" i="3" s="1"/>
  <c r="CF10" i="3"/>
  <c r="CE10" i="3"/>
  <c r="CD10" i="3"/>
  <c r="CB10" i="3"/>
  <c r="CJ9" i="3"/>
  <c r="CQ9" i="3" s="1"/>
  <c r="CR9" i="3" s="1"/>
  <c r="CF9" i="3"/>
  <c r="CE9" i="3"/>
  <c r="CD9" i="3"/>
  <c r="CB9" i="3"/>
  <c r="CF8" i="3"/>
  <c r="CE8" i="3"/>
  <c r="CD8" i="3"/>
  <c r="CJ8" i="3"/>
  <c r="CB8" i="3"/>
  <c r="CJ7" i="3"/>
  <c r="CQ7" i="3" s="1"/>
  <c r="CR7" i="3" s="1"/>
  <c r="CF7" i="3"/>
  <c r="CE7" i="3"/>
  <c r="CD7" i="3"/>
  <c r="CB7" i="3"/>
  <c r="BR7" i="3"/>
  <c r="CF6" i="3"/>
  <c r="CE6" i="3"/>
  <c r="CD6" i="3"/>
  <c r="CJ6" i="3"/>
  <c r="CB6" i="3"/>
  <c r="W7" i="3"/>
  <c r="CO5" i="3"/>
  <c r="CJ5" i="3"/>
  <c r="CQ5" i="3" s="1"/>
  <c r="CR5" i="3" s="1"/>
  <c r="CF5" i="3"/>
  <c r="CE5" i="3"/>
  <c r="CD5" i="3"/>
  <c r="CB5" i="3"/>
  <c r="CS4" i="3"/>
  <c r="CS5" i="3" s="1"/>
  <c r="CS6" i="3" s="1"/>
  <c r="CS7" i="3" s="1"/>
  <c r="CS8" i="3" s="1"/>
  <c r="CS9" i="3" s="1"/>
  <c r="CS10" i="3" s="1"/>
  <c r="CS11" i="3" s="1"/>
  <c r="CS12" i="3" s="1"/>
  <c r="CQ4" i="3"/>
  <c r="CR4" i="3" s="1"/>
  <c r="CP4" i="3"/>
  <c r="CO4" i="3"/>
  <c r="CJ4" i="3"/>
  <c r="CC20" i="3" s="1"/>
  <c r="CF4" i="3"/>
  <c r="CE4" i="3"/>
  <c r="CD4" i="3"/>
  <c r="CB4" i="3"/>
  <c r="CS3" i="3"/>
  <c r="CF3" i="3"/>
  <c r="CE3" i="3"/>
  <c r="CD3" i="3"/>
  <c r="CJ3" i="3"/>
  <c r="CB3" i="3"/>
  <c r="V134" i="2"/>
  <c r="V120" i="2"/>
  <c r="V118" i="2"/>
  <c r="CG7" i="3" l="1"/>
  <c r="P7" i="3"/>
  <c r="X7" i="3"/>
  <c r="O7" i="3"/>
  <c r="Q7" i="3"/>
  <c r="CG10" i="3"/>
  <c r="CG6" i="3"/>
  <c r="CG8" i="3"/>
  <c r="CG3" i="3"/>
  <c r="CG9" i="3"/>
  <c r="CG5" i="3"/>
  <c r="CG4" i="3"/>
  <c r="CO3" i="3"/>
  <c r="CQ3" i="3"/>
  <c r="CR3" i="3" s="1"/>
  <c r="CP3" i="3"/>
  <c r="CQ6" i="3"/>
  <c r="CR6" i="3" s="1"/>
  <c r="CP6" i="3"/>
  <c r="CO6" i="3"/>
  <c r="CQ8" i="3"/>
  <c r="CR8" i="3" s="1"/>
  <c r="CP8" i="3"/>
  <c r="CO8" i="3"/>
  <c r="CC22" i="3"/>
  <c r="CO7" i="3"/>
  <c r="CP7" i="3"/>
  <c r="CO9" i="3"/>
  <c r="CP5" i="3"/>
  <c r="CP9" i="3"/>
  <c r="CO10" i="3"/>
  <c r="CP10" i="3"/>
  <c r="T7" i="3" l="1"/>
  <c r="V7" i="3" s="1"/>
</calcChain>
</file>

<file path=xl/sharedStrings.xml><?xml version="1.0" encoding="utf-8"?>
<sst xmlns="http://schemas.openxmlformats.org/spreadsheetml/2006/main" count="517" uniqueCount="296">
  <si>
    <t>1. update the separate fund spreadsheets in "Newsletter Data &gt; Convserions" for the latest months performance</t>
  </si>
  <si>
    <t>(1b. Attentus will send ARF performance to portfolioadmin in the 'NAV pack')</t>
  </si>
  <si>
    <t>2. In this excel doc, go to the sheet 'Performance Data' and update final row, take a note of the latest month's number in column A</t>
  </si>
  <si>
    <t>3. In the 'Summary' sheet, update cell A1 for the latest month number (eg. '148' would update for sep22 numbers)</t>
  </si>
  <si>
    <t>4. in the 'contribution data' sheet, update the red text for the latest month's contribution data. Do this by C&amp;P from IRESS using 'commands &gt; IPS &gt; reporting &gt; Performance Contribution)</t>
  </si>
  <si>
    <t>see screenshot for settings configuration - &gt; if you cant see these settings, click on brown filter</t>
  </si>
  <si>
    <t>5. Check each of the funds tabs for any data feed errors. If a new stock has been added, it may need to go into the 'Names' sheet</t>
  </si>
  <si>
    <t xml:space="preserve">6. Once spreadsheet has been updated, open up the pp preso doc for each fund, click 'update links' on entry. </t>
  </si>
  <si>
    <t>7. Ensure data is feeding correctly</t>
  </si>
  <si>
    <t>NET PERFORMANCE</t>
  </si>
  <si>
    <t>MTD</t>
  </si>
  <si>
    <t>QTD</t>
  </si>
  <si>
    <t>ANNUALISED</t>
  </si>
  <si>
    <t>LASER BEAM FUND</t>
  </si>
  <si>
    <t>TOP HOLDINGS</t>
  </si>
  <si>
    <t>GET FROM CELL R109</t>
  </si>
  <si>
    <t>TOP CONTRIBUTORS</t>
  </si>
  <si>
    <t>THE FUND</t>
  </si>
  <si>
    <t xml:space="preserve">Alphabet </t>
  </si>
  <si>
    <t>Universe</t>
  </si>
  <si>
    <t>Global</t>
  </si>
  <si>
    <t>Holdings</t>
  </si>
  <si>
    <t>5-20</t>
  </si>
  <si>
    <t>Target</t>
  </si>
  <si>
    <t>&gt;10% net p.a.</t>
  </si>
  <si>
    <t>Min Investment</t>
  </si>
  <si>
    <t>$100k</t>
  </si>
  <si>
    <t>Mgmt. Fee</t>
  </si>
  <si>
    <t>Net Exposure</t>
  </si>
  <si>
    <t>TOP DETRACTORS</t>
  </si>
  <si>
    <t>Perf. Fee</t>
  </si>
  <si>
    <t>Gross Long</t>
  </si>
  <si>
    <t>APIR</t>
  </si>
  <si>
    <t>NCC5451AU</t>
  </si>
  <si>
    <t>Gross Short</t>
  </si>
  <si>
    <t>Vehicle</t>
  </si>
  <si>
    <t>Wholesale Unit Trust</t>
  </si>
  <si>
    <t>PM</t>
  </si>
  <si>
    <t>Hayden Beamish</t>
  </si>
  <si>
    <t>STATISTICS</t>
  </si>
  <si>
    <t xml:space="preserve">Amazon </t>
  </si>
  <si>
    <t>Best Month</t>
  </si>
  <si>
    <t>Worst Month</t>
  </si>
  <si>
    <t>Reddit</t>
  </si>
  <si>
    <t>MSCI AW Best</t>
  </si>
  <si>
    <t>United Health</t>
  </si>
  <si>
    <t>MSCI AW Worst</t>
  </si>
  <si>
    <t>Upside Capture</t>
  </si>
  <si>
    <t>Downside Capture</t>
  </si>
  <si>
    <t>-</t>
  </si>
  <si>
    <t>Avg. Net Exposure</t>
  </si>
  <si>
    <t>Avg. Cash Balance</t>
  </si>
  <si>
    <t>Beta</t>
  </si>
  <si>
    <t>LBF DATA</t>
  </si>
  <si>
    <t>MGWD DATA</t>
  </si>
  <si>
    <t>LBF Data</t>
  </si>
  <si>
    <t>MSCI DATA</t>
  </si>
  <si>
    <t>HEDGE DATA</t>
  </si>
  <si>
    <t>Month</t>
  </si>
  <si>
    <t>NAV</t>
  </si>
  <si>
    <t>Inception</t>
  </si>
  <si>
    <t>Quarter</t>
  </si>
  <si>
    <t>FY</t>
  </si>
  <si>
    <t>1 Yr</t>
  </si>
  <si>
    <t>LBF Annualised</t>
  </si>
  <si>
    <t>Std Dev</t>
  </si>
  <si>
    <t>Gain/Pain</t>
  </si>
  <si>
    <t>Sortino Ratio</t>
  </si>
  <si>
    <t>Sharpe Ratio</t>
  </si>
  <si>
    <t>Roll. Inception Beta</t>
  </si>
  <si>
    <t>MGWD Month</t>
  </si>
  <si>
    <t>MGWD Inception</t>
  </si>
  <si>
    <t>MGWD 1 Yr</t>
  </si>
  <si>
    <t>MGWD Annualised</t>
  </si>
  <si>
    <t>Hurdle</t>
  </si>
  <si>
    <t>Rf</t>
  </si>
  <si>
    <t>Monthly Excess Return</t>
  </si>
  <si>
    <t>Rolling 12 Months Ex Ret</t>
  </si>
  <si>
    <t>Neg. Exc. Ret.</t>
  </si>
  <si>
    <t>Square Neg. Exc. Ret.</t>
  </si>
  <si>
    <t>Downside Deviation</t>
  </si>
  <si>
    <t>Annualised</t>
  </si>
  <si>
    <t>Sharpe Excess</t>
  </si>
  <si>
    <t>Sharpe Deviation</t>
  </si>
  <si>
    <t>Sharpe Annualised</t>
  </si>
  <si>
    <t>Weighted Avg. Market Cap ($m)</t>
  </si>
  <si>
    <t>Avg. Daily Liquidity</t>
  </si>
  <si>
    <t>Cash</t>
  </si>
  <si>
    <t>Avg. Cash</t>
  </si>
  <si>
    <t>Long Equities</t>
  </si>
  <si>
    <t>Short Equities</t>
  </si>
  <si>
    <t>Gross Exposure</t>
  </si>
  <si>
    <t xml:space="preserve">Gross Exposure </t>
  </si>
  <si>
    <t xml:space="preserve">Net Exposure </t>
  </si>
  <si>
    <t>Avg Gross Exposure %</t>
  </si>
  <si>
    <t>Avg Net Exposure %</t>
  </si>
  <si>
    <t>Month End Sector</t>
  </si>
  <si>
    <t xml:space="preserve">FACTSET </t>
  </si>
  <si>
    <t>INDEX</t>
  </si>
  <si>
    <t>MVP-AU</t>
  </si>
  <si>
    <t>Hardcode</t>
  </si>
  <si>
    <t>TECHNOLOGY</t>
  </si>
  <si>
    <t>MATERIALS</t>
  </si>
  <si>
    <t>PNV-AU</t>
  </si>
  <si>
    <t>INDUSTRIALS</t>
  </si>
  <si>
    <t>AAPL-NYS</t>
  </si>
  <si>
    <t>Top 10 Holdings</t>
  </si>
  <si>
    <t>Company name</t>
  </si>
  <si>
    <t>Weighting</t>
  </si>
  <si>
    <t>Market cap</t>
  </si>
  <si>
    <t>EV</t>
  </si>
  <si>
    <t xml:space="preserve">EV </t>
  </si>
  <si>
    <t>Share Price</t>
  </si>
  <si>
    <t>FY0 EPS</t>
  </si>
  <si>
    <t>FY1 EPS</t>
  </si>
  <si>
    <t>FY2 EPS</t>
  </si>
  <si>
    <t>FY3 EPS</t>
  </si>
  <si>
    <t>EPS Growth (FY1)</t>
  </si>
  <si>
    <t>FY0 EBITDA</t>
  </si>
  <si>
    <t>FY1 EBITDA</t>
  </si>
  <si>
    <t>FY2 EBITDA</t>
  </si>
  <si>
    <t>EBITDA Growth (FY1)</t>
  </si>
  <si>
    <t>FCF Yield (FY1)</t>
  </si>
  <si>
    <t>P/E (FY1)</t>
  </si>
  <si>
    <t>EPS Growth (FY2)</t>
  </si>
  <si>
    <t>PEG</t>
  </si>
  <si>
    <t>EV/EBITDA (FY1)</t>
  </si>
  <si>
    <t>EBITDA Margin (FY1)</t>
  </si>
  <si>
    <t>EBITDA Growth (FY2)</t>
  </si>
  <si>
    <t>ROE (FY1)</t>
  </si>
  <si>
    <t>ROIC (FY1)</t>
  </si>
  <si>
    <t>Sector</t>
  </si>
  <si>
    <t>METALS</t>
  </si>
  <si>
    <t>CGF-AU</t>
  </si>
  <si>
    <t>MQG</t>
  </si>
  <si>
    <t>MQG-AU</t>
  </si>
  <si>
    <t>Macquarie Group Limited</t>
  </si>
  <si>
    <t>n/a</t>
  </si>
  <si>
    <t>Finance</t>
  </si>
  <si>
    <t>Miscellaneous</t>
  </si>
  <si>
    <t>Exists as exchange Traded Fund</t>
  </si>
  <si>
    <t>HEALTH CARE</t>
  </si>
  <si>
    <t>ALU-AU</t>
  </si>
  <si>
    <t>TWTR</t>
  </si>
  <si>
    <t>TWTR-NYS</t>
  </si>
  <si>
    <t>Twitter, Inc.</t>
  </si>
  <si>
    <t>Technology Services</t>
  </si>
  <si>
    <t>Altium Ltd. engages in developing and selling of computer software for the design of electronic products. It operates through the following segments: Board and Systems; Micro-Controllers and Embedded Systems; and Makers and Content. The Board and Systems segment includes results from PCB business for the americas, EMEA, asia pacific and emerging Markets regions as well as other products sold through partner channels. The Micro-Controllers and Embedded Systems segment comprises of results from tasking sales, operations and research and development. The Makers and Content segment covers the results from Octopart. The company was founded by Nicholas Martin in 1985 and is headquartered in Chatswood, Australia.</t>
  </si>
  <si>
    <t>Designs, develops and markets computer software for the design of electronic products</t>
  </si>
  <si>
    <t>COMMUNICATIONS</t>
  </si>
  <si>
    <t>NEA-AU</t>
  </si>
  <si>
    <t>CWP</t>
  </si>
  <si>
    <t>CWP-AU</t>
  </si>
  <si>
    <t>Cedar Woods Properties Limited</t>
  </si>
  <si>
    <t>Producer Manufacturing</t>
  </si>
  <si>
    <t>Austal Ltd. engages in the design and construction of customized aluminum commercial and defense vessels. The company operates through the following segments: Australia, USA, and Asia. The Australia segment manufactures commercial and defense vessels for markets worldwide, excluding the USA and provides training and on-going support and maintenance for vessels. The USA segment engages in the manufacturing of aluminum defense vessels for the US Navy and provides training and on-going support and maintenance of these performance vessels for the US Navy. The Asia segment provides aluminium commercial vessels for global markets excluding the USA. The company was founded by John Rothwell in 1988 and is headquartered in Henderson, Australia.</t>
  </si>
  <si>
    <t>Designs and constructs customized aluminium commercial and defence vessels</t>
  </si>
  <si>
    <t>CASH</t>
  </si>
  <si>
    <t>TNE-AU</t>
  </si>
  <si>
    <t>BABA</t>
  </si>
  <si>
    <t>BABA-NYS</t>
  </si>
  <si>
    <t>Alibaba Group Holding Ltd. Sponsored ADR</t>
  </si>
  <si>
    <t>Retail Trade</t>
  </si>
  <si>
    <t>BigTinCan Holdings Ltd. is a software development company. The company focuses on providing enterprise mobility solutions, which enables sales and service organizations to increase sales, reduce expenditures and improve customer satisfaction through mobile worker productivity. Its Bigtincan hub, mobile content engagement platform enables users to securely access and interact with all types of content such as files, documents, PDFs, powerpoint presentations, e-mail, video, RSS fees, forms, media, web content, and share knowledge and expertise across teams, and automate processes across any mobile device or network. The company provides software development services to clients in Australia and U.S. BigTinCan Holdings was founded by David Keane and Geoffrey Cohen in 2011 and is headquartered in Sydney, Australia.</t>
  </si>
  <si>
    <t>Develops video distributing software</t>
  </si>
  <si>
    <t>NWH</t>
  </si>
  <si>
    <t>NWH-AU</t>
  </si>
  <si>
    <t>NRW Holdings Limited</t>
  </si>
  <si>
    <t>Industrial Services</t>
  </si>
  <si>
    <t>Cedar Woods Properties Ltd. engages in property investment and development. The firm's principal interests are in urban land and built form development for residential, industrial and commercial purposes. Its projects include St. A in St Albans, Jackson Green in Clayton South, Williams Landing, Bushmead, Harrisdale Green, Ellendale, and Glenside. The company was founded by William George Hames and Ross James Neumann in 1987 and is headquartered in West Perth, Australia.</t>
  </si>
  <si>
    <t>Engages in property investment and development activities in Australia</t>
  </si>
  <si>
    <t>IMD</t>
  </si>
  <si>
    <t>IMD-AU</t>
  </si>
  <si>
    <t>Imdex Ltd</t>
  </si>
  <si>
    <t>Distribution Services</t>
  </si>
  <si>
    <t>Electronic Technology</t>
  </si>
  <si>
    <t>Electro Optic Systems Holdings Ltd. develops and produces products incorporating advanced electro-optic technologies for the aerospace market. Its products are developed through internal research and development programs based on its core technologies in software, lasers, electronics, optics, gimbals, telescopes and beam directors, optical coatings and precision mechanisms. The company operates its business through the following segments: Defence Systems and Space. The Defence Systems segment develops, manufactures and markets advanced fire control, surveillance and weapon systems to approved military customers. The Space segment involves in surveillance systems. Electro Optic Systems Holdings was founded by Benny Allan Greene in 1983 and is headquartered in Sydney, Australia.</t>
  </si>
  <si>
    <t>Develops and produces electro-optic technologies for the aerospace market</t>
  </si>
  <si>
    <t>PAN</t>
  </si>
  <si>
    <t>PAN-AU</t>
  </si>
  <si>
    <t>Panoramic Resources Limited</t>
  </si>
  <si>
    <t>Non-Energy Minerals</t>
  </si>
  <si>
    <t>Imdex Ltd. engages in the provision of mining equipment, technology, and services. It operates through the AMC and REFLEX brands. The AMC brand deals with drilling fluids, equipment, technologies, and software. The REFLEX brand includes downhole instrumentation, data management and analytical software for geological modelling. The company was founded on December 17, 1980 and is headquartered in Balcatta, Australia.</t>
  </si>
  <si>
    <t>Provides drilling fluids to mining industries</t>
  </si>
  <si>
    <t>Total</t>
  </si>
  <si>
    <t>XLI</t>
  </si>
  <si>
    <t>XLI-NYS</t>
  </si>
  <si>
    <t>Industrial Select Sector SPDR Fund</t>
  </si>
  <si>
    <t>Communications</t>
  </si>
  <si>
    <t>MNF Group Ltd. engages in the provision of voice, data, and cloud based communication and communication enablement services. It operates its business through the following segments: Domestic Retail, Domestic Wholesale, and Global Wholesale. The Domestic Retail segment involves in selling directly to residential, small business, enterprise and government customers. The Domestic Wholesale segment include selling to Australian and New Zealand domestic carriers, carriage service providers, cloud providers, and application providers. The Global Wholesale segment focuses in selling to the global carriers, carriage service providers, cloud providers, and application providers. The company was founded by Kam Kan Fung and Rene Sugo in 2004 and is headquartered in Sydney, Australia.</t>
  </si>
  <si>
    <t>Provides IP based VoIP, data and video services</t>
  </si>
  <si>
    <t>OBL</t>
  </si>
  <si>
    <t>OBL-AU</t>
  </si>
  <si>
    <t>Omni Bridgeway Ltd</t>
  </si>
  <si>
    <t>Commercial Services</t>
  </si>
  <si>
    <t>Money3 Corp. Ltd. provides financial services. Its specialization includes the delivery of small cash loans, secured and unsecured personal loans, cheque cashing, equipment and motor vehicle rental. It operates through following segments: Broker, Branch and Online. The Broker segment provides facilities based on the provision of an underlying asset as security, generally referred through a broker. The Branch segment provides services and facilities generally without the provision of an underlying asset as security through the branch network. The Online segment provides facilities without the provision of an underlying asset as security through the internet. The company was founded on November 25, 2005 and is headquartered in Bundoora, Australia.</t>
  </si>
  <si>
    <t>Provides credit, personal and car cash loans, cheque cashing, international money transfer and insurance brokerage services</t>
  </si>
  <si>
    <t>CAT</t>
  </si>
  <si>
    <t>CAT-AU</t>
  </si>
  <si>
    <t>Catapult Group International Ltd.</t>
  </si>
  <si>
    <t>Macquarie Group Ltd. operates as a non-operating holding company. The firm engages in the provision of banking, financial, advisory, investment and funds management services. It operates through the following segments: Macquarie Asset Management (MAM), Banking and Financial Services (BFS), Commodities and Global Markets (CGM), Macquarie Capital and Corporate. The MAM segment delivers investment solutions to clients across a range of capabilities, including infrastructure, real estate, agriculture, equities, fixed income, private credit, liquid alternatives, and multi-asset solutions. The BFS segment offers personal banking, wealth management, business banking, and vehicle finance products and services to retail clients, advisers, brokers and business clients. The CGM segment comprises of integrated, end-to-end offering across global markets including equities, fixed income, foreign exchange, and commodities. The Macquarie Capital segment includes capital solutions across products and sectors including infrastructure, green and conventional energy. The Corporate segment refers to the head office and central service groups, including group treasury and other investments. The company was founded on December 10, 1969 and is headquartered in Sydney, Australia.</t>
  </si>
  <si>
    <t>Provides retail financial services, investment banking, and financial market services</t>
  </si>
  <si>
    <t>Avg. market cap</t>
  </si>
  <si>
    <t>b</t>
  </si>
  <si>
    <t>1) Update column BW to make sure ASX stocks have "-AU" after and USA stocks "-NYS" (CAT &amp; XLI are the only 3 letter codes that are NYS)</t>
  </si>
  <si>
    <t>Weighting avg. market cap</t>
  </si>
  <si>
    <t>2) Click Factset</t>
  </si>
  <si>
    <t>Avg. daily value</t>
  </si>
  <si>
    <t>m</t>
  </si>
  <si>
    <t>Weighting avg. daily liquidity</t>
  </si>
  <si>
    <t>3) Click Hardcode</t>
  </si>
  <si>
    <t>Avg AU liquidity</t>
  </si>
  <si>
    <t>5) Copy data from BX39 &amp; BX41  into columns AW and AY</t>
  </si>
  <si>
    <t>Portfolio By Market Cap</t>
  </si>
  <si>
    <t>&gt;$10b (84%)</t>
  </si>
  <si>
    <t>$1b-$10b (11%)</t>
  </si>
  <si>
    <t>$500m-$1b (0%)</t>
  </si>
  <si>
    <t>$300m-$500m (0%)</t>
  </si>
  <si>
    <t>&lt;$300m (5%)</t>
  </si>
  <si>
    <t>300m FUM</t>
  </si>
  <si>
    <t>Days to exit</t>
  </si>
  <si>
    <t>% exit &lt;2 days</t>
  </si>
  <si>
    <t>80% of $300m within two weeks</t>
  </si>
  <si>
    <t>INTERACTIVE BROKERS</t>
  </si>
  <si>
    <t>Energy</t>
  </si>
  <si>
    <t>Financials</t>
  </si>
  <si>
    <t>Heathcare</t>
  </si>
  <si>
    <t>Software</t>
  </si>
  <si>
    <t>Materials</t>
  </si>
  <si>
    <t>Resources</t>
  </si>
  <si>
    <t>Property</t>
  </si>
  <si>
    <t>Telecomm</t>
  </si>
  <si>
    <t>Online Retail</t>
  </si>
  <si>
    <t>Industrials</t>
  </si>
  <si>
    <t>Mining Services</t>
  </si>
  <si>
    <t>Technology</t>
  </si>
  <si>
    <t>Medical Device</t>
  </si>
  <si>
    <t>Defence Construction</t>
  </si>
  <si>
    <t>Biotechnology</t>
  </si>
  <si>
    <t>Industrial</t>
  </si>
  <si>
    <t>Retail</t>
  </si>
  <si>
    <t>CAT-NYS</t>
  </si>
  <si>
    <t>Infrastrucutre</t>
  </si>
  <si>
    <t>SLC-AU</t>
  </si>
  <si>
    <t>Infrastructure</t>
  </si>
  <si>
    <t>EOS-AU</t>
  </si>
  <si>
    <t>Telecommunications</t>
  </si>
  <si>
    <t>SLB-NYS</t>
  </si>
  <si>
    <t>Online Travel</t>
  </si>
  <si>
    <t>ASB-AU</t>
  </si>
  <si>
    <t>MNY-AU</t>
  </si>
  <si>
    <t>RBL-AU</t>
  </si>
  <si>
    <t>CumulativeReturn</t>
  </si>
  <si>
    <t>label</t>
  </si>
  <si>
    <t>value</t>
  </si>
  <si>
    <t>TopHoldingsTable</t>
  </si>
  <si>
    <t>Weight</t>
  </si>
  <si>
    <t>Rank</t>
  </si>
  <si>
    <t>Column1</t>
  </si>
  <si>
    <t>Column2</t>
  </si>
  <si>
    <t>Column3</t>
  </si>
  <si>
    <t>Column4</t>
  </si>
  <si>
    <t>Column5</t>
  </si>
  <si>
    <t>Column6</t>
  </si>
  <si>
    <t>Column7</t>
  </si>
  <si>
    <t>Column8</t>
  </si>
  <si>
    <t>Column9</t>
  </si>
  <si>
    <t>Column10</t>
  </si>
  <si>
    <t>Amazon</t>
  </si>
  <si>
    <t>key</t>
  </si>
  <si>
    <t>name</t>
  </si>
  <si>
    <t>labels</t>
  </si>
  <si>
    <t>Gross long</t>
  </si>
  <si>
    <t>&gt;$10b</t>
  </si>
  <si>
    <t>Gross short</t>
  </si>
  <si>
    <t>$1b-$10b</t>
  </si>
  <si>
    <t>Net</t>
  </si>
  <si>
    <t>$500m-$1b</t>
  </si>
  <si>
    <t>$300m-$500m</t>
  </si>
  <si>
    <t>&lt;$300m</t>
  </si>
  <si>
    <t>text</t>
  </si>
  <si>
    <t xml:space="preserve">Strategy </t>
  </si>
  <si>
    <t>We run a concentrated, long biased portfolio of 5 to 20 positions, with flexibility to short mainly for hedging and risk management. We focus on quality businesses, sizing positions by conviction and risk reward, cutting losers quickly and letting winners compound. Ideas are sourced through deep fundamental research enhanced by proprietary AI analytics to uncover catalysts, growth themes and market dislocations. The Portfolio Manager is invested alongside clients.</t>
  </si>
  <si>
    <t>Hedging</t>
  </si>
  <si>
    <t>Hedging is part of our core process, not a trade. We aim to protect capital, smooth the return path and keep dry powder so we can play offence when others are forced to sell. We flex net exposure using index futures and options such as put spreads, collars and opportunistic call overwrites to neutralise market risk at low carry, add selective single name shorts where fundamentals are deteriorating or positioning is crowded, and hold cash when the opportunity set is thin.</t>
  </si>
  <si>
    <t>AI Analyst</t>
  </si>
  <si>
    <t>It ingests earnings calls, company filings, price and volume, options flow and credible web signals each day, then ranks what changed and why it matters. Language models flag guidance shifts, management tone, competitive pressure and anomalies that are easy to miss at speed, while pattern detection surfaces repeatable set ups and builds live watchlists with entry and exit levels, catalysts and risks. The output is concise one page briefs and scenario tests that support quicker and better sizing decisions. It augments our work, it does not decide, and every idea still passes a fundamental review before capital is risked.</t>
  </si>
  <si>
    <t>Risk Management</t>
  </si>
  <si>
    <t>We are return focused and drawdown aware. Risk is set before entry: every trade has defined downside, a stop loss, and a position size based on conviction, liquidity and risk reward within name and sector limits. Gross and net exposure sit inside bands, with hedges and shorts used to neutralise unintended risks. Liquidity comes first, supported by event playbooks and ongoing stress tests across rates, currency, factors and commodities; portfolio drawdown triggers force action. Independent trustee, administration and audit provide oversight with daily reconciliation, and the Portfolio Manager invests alongside clients.</t>
  </si>
  <si>
    <t/>
  </si>
  <si>
    <t>RBL</t>
  </si>
  <si>
    <t>SLC</t>
  </si>
  <si>
    <t>TNE</t>
  </si>
  <si>
    <t>AAPL</t>
  </si>
  <si>
    <t>SLB</t>
  </si>
  <si>
    <t>INCEPTION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</si>
</sst>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_-* #,##0.00_-;\-* #,##0.00_-;_-* \-??_-;_-@_-"/>
    <numFmt numFmtId="165" formatCode="_-\$* #,##0.00_-;&quot;-$&quot;* #,##0.00_-;_-\$* \-??_-;_-@_-"/>
    <numFmt numFmtId="166" formatCode="[$-F800]dddd&quot;, &quot;mmmm\ dd&quot;, &quot;yyyy"/>
    <numFmt numFmtId="167" formatCode="0.0%"/>
    <numFmt numFmtId="168" formatCode="dd/mm/yyyy"/>
    <numFmt numFmtId="169" formatCode="dd\ mmm\ yy"/>
    <numFmt numFmtId="170" formatCode="0.0"/>
    <numFmt numFmtId="171" formatCode="_-* #,##0.0_-;\-* #,##0.0_-;_-* \-??_-;_-@_-"/>
    <numFmt numFmtId="172" formatCode="\$###\b"/>
    <numFmt numFmtId="173" formatCode="\$###\m"/>
    <numFmt numFmtId="174" formatCode="_-* #,##0_-;\-* #,##0_-;_-* \-??_-;_-@_-"/>
    <numFmt numFmtId="175" formatCode="0.0;;;"/>
    <numFmt numFmtId="176" formatCode="0;;;"/>
    <numFmt numFmtId="177" formatCode="0%;\-0%;\ "/>
  </numFmts>
  <fonts count="34">
    <font>
      <sz val="11"/>
      <color theme="1"/>
      <name val="Calibri"/>
      <family val="2"/>
      <charset val="1"/>
    </font>
    <font>
      <sz val="10"/>
      <name val="Arial"/>
      <family val="2"/>
      <charset val="1"/>
    </font>
    <font>
      <b/>
      <sz val="14"/>
      <color rgb="FFAE1E2E"/>
      <name val="HelveticaNeue LT 33 ThinEx"/>
      <charset val="1"/>
    </font>
    <font>
      <b/>
      <sz val="11"/>
      <color theme="1"/>
      <name val="Calibri"/>
      <family val="2"/>
      <charset val="1"/>
    </font>
    <font>
      <sz val="11"/>
      <color theme="1"/>
      <name val="Mont"/>
      <charset val="1"/>
    </font>
    <font>
      <sz val="11"/>
      <name val="Mont"/>
      <charset val="1"/>
    </font>
    <font>
      <sz val="16"/>
      <name val="Montserrat"/>
      <charset val="1"/>
    </font>
    <font>
      <sz val="11"/>
      <color theme="0" tint="-0.34998626667073579"/>
      <name val="Mont"/>
      <charset val="1"/>
    </font>
    <font>
      <sz val="12"/>
      <name val="Mont"/>
      <charset val="1"/>
    </font>
    <font>
      <b/>
      <sz val="15"/>
      <name val="Mont"/>
      <charset val="1"/>
    </font>
    <font>
      <sz val="15"/>
      <name val="Mont"/>
      <charset val="1"/>
    </font>
    <font>
      <b/>
      <sz val="11"/>
      <name val="Mont"/>
      <charset val="1"/>
    </font>
    <font>
      <sz val="14"/>
      <name val="Montserrat"/>
      <charset val="1"/>
    </font>
    <font>
      <sz val="14"/>
      <color theme="1"/>
      <name val="Montserrat"/>
      <charset val="1"/>
    </font>
    <font>
      <sz val="12"/>
      <color rgb="FFAE1E2E"/>
      <name val="HelveticaNeue LT 43 LightEx"/>
      <charset val="1"/>
    </font>
    <font>
      <sz val="14"/>
      <name val="Mont"/>
      <charset val="1"/>
    </font>
    <font>
      <sz val="11"/>
      <name val="Montserrat"/>
      <charset val="1"/>
    </font>
    <font>
      <sz val="11"/>
      <color theme="1"/>
      <name val="Montserrat"/>
      <charset val="1"/>
    </font>
    <font>
      <sz val="10"/>
      <color theme="1"/>
      <name val="Mont"/>
      <charset val="1"/>
    </font>
    <font>
      <sz val="12"/>
      <color theme="1"/>
      <name val="Montserrat"/>
      <charset val="1"/>
    </font>
    <font>
      <sz val="10"/>
      <name val="Mont"/>
      <charset val="1"/>
    </font>
    <font>
      <b/>
      <sz val="12"/>
      <color theme="0"/>
      <name val="Arial"/>
      <family val="2"/>
      <charset val="1"/>
    </font>
    <font>
      <sz val="10"/>
      <color theme="0"/>
      <name val="Arial"/>
      <family val="2"/>
      <charset val="1"/>
    </font>
    <font>
      <b/>
      <sz val="12"/>
      <name val="Arial"/>
      <family val="2"/>
      <charset val="1"/>
    </font>
    <font>
      <sz val="12"/>
      <name val="Arial"/>
      <family val="2"/>
      <charset val="1"/>
    </font>
    <font>
      <sz val="8.8000000000000007"/>
      <name val="HelveticaNeue LT 33 ThinEx"/>
      <charset val="1"/>
    </font>
    <font>
      <b/>
      <sz val="10"/>
      <name val="Arial"/>
      <family val="2"/>
      <charset val="1"/>
    </font>
    <font>
      <sz val="8"/>
      <name val="Arial"/>
      <family val="2"/>
      <charset val="1"/>
    </font>
    <font>
      <sz val="8"/>
      <color theme="1"/>
      <name val="Arial"/>
      <family val="2"/>
      <charset val="1"/>
    </font>
    <font>
      <sz val="11"/>
      <name val="Calibri"/>
      <family val="2"/>
      <charset val="1"/>
    </font>
    <font>
      <sz val="7"/>
      <color rgb="FF07080A"/>
      <name val="Arial"/>
      <family val="2"/>
      <charset val="1"/>
    </font>
    <font>
      <sz val="7"/>
      <color rgb="FF4B5563"/>
      <name val="Arial"/>
      <family val="2"/>
      <charset val="1"/>
    </font>
    <font>
      <b/>
      <sz val="18"/>
      <color rgb="FF6B7281"/>
      <name val="Arial"/>
      <family val="2"/>
      <charset val="1"/>
    </font>
    <font>
      <sz val="11"/>
      <color theme="1"/>
      <name val="Calibri"/>
      <family val="2"/>
      <charset val="1"/>
    </font>
  </fonts>
  <fills count="10">
    <fill>
      <patternFill patternType="none"/>
    </fill>
    <fill>
      <patternFill patternType="gray125"/>
    </fill>
    <fill>
      <patternFill patternType="solid">
        <fgColor theme="0"/>
        <bgColor rgb="FFF5F5F5"/>
      </patternFill>
    </fill>
    <fill>
      <patternFill patternType="solid">
        <fgColor rgb="FFF5F5F5"/>
        <bgColor rgb="FFF2F2F2"/>
      </patternFill>
    </fill>
    <fill>
      <patternFill patternType="solid">
        <fgColor theme="0" tint="-0.14999847407452621"/>
        <bgColor rgb="FFD6D6D6"/>
      </patternFill>
    </fill>
    <fill>
      <patternFill patternType="solid">
        <fgColor theme="3"/>
        <bgColor rgb="FF404040"/>
      </patternFill>
    </fill>
    <fill>
      <patternFill patternType="solid">
        <fgColor theme="5" tint="0.79989013336588644"/>
        <bgColor rgb="FFF0E5DA"/>
      </patternFill>
    </fill>
    <fill>
      <patternFill patternType="solid">
        <fgColor theme="4" tint="0.79989013336588644"/>
        <bgColor rgb="FFFADDCD"/>
      </patternFill>
    </fill>
    <fill>
      <patternFill patternType="solid">
        <fgColor theme="9" tint="0.79989013336588644"/>
        <bgColor rgb="FFE5E7EB"/>
      </patternFill>
    </fill>
    <fill>
      <patternFill patternType="solid">
        <fgColor theme="0" tint="-4.9989318521683403E-2"/>
        <bgColor rgb="FFF5F5F5"/>
      </patternFill>
    </fill>
  </fills>
  <borders count="4">
    <border>
      <left/>
      <right/>
      <top/>
      <bottom/>
      <diagonal/>
    </border>
    <border>
      <left style="thin">
        <color auto="1"/>
      </left>
      <right/>
      <top/>
      <bottom/>
      <diagonal/>
    </border>
    <border>
      <left/>
      <right/>
      <top/>
      <bottom style="thin">
        <color auto="1"/>
      </bottom>
      <diagonal/>
    </border>
    <border>
      <left/>
      <right/>
      <top/>
      <bottom style="medium">
        <color rgb="FFE5E7EB"/>
      </bottom>
      <diagonal/>
    </border>
  </borders>
  <cellStyleXfs count="10">
    <xf numFmtId="0" fontId="0" fillId="0" borderId="0"/>
    <xf numFmtId="164" fontId="33" fillId="0" borderId="0" applyBorder="0" applyProtection="0"/>
    <xf numFmtId="165" fontId="33" fillId="0" borderId="0" applyBorder="0" applyProtection="0"/>
    <xf numFmtId="9" fontId="33" fillId="0" borderId="0" applyBorder="0" applyProtection="0"/>
    <xf numFmtId="164" fontId="33" fillId="0" borderId="0" applyBorder="0" applyProtection="0"/>
    <xf numFmtId="165" fontId="33" fillId="0" borderId="0" applyBorder="0" applyProtection="0"/>
    <xf numFmtId="0" fontId="1" fillId="0" borderId="0"/>
    <xf numFmtId="166" fontId="1" fillId="0" borderId="0"/>
    <xf numFmtId="9" fontId="33" fillId="0" borderId="0" applyBorder="0" applyProtection="0"/>
    <xf numFmtId="0" fontId="2" fillId="2" borderId="0">
      <alignment horizontal="left" vertical="center"/>
    </xf>
  </cellStyleXfs>
  <cellXfs count="172">
    <xf numFmtId="0" fontId="0" fillId="0" borderId="0" xfId="0"/>
    <xf numFmtId="166" fontId="26" fillId="8" borderId="0" xfId="7" applyFont="1" applyFill="1" applyAlignment="1">
      <alignment horizontal="center"/>
    </xf>
    <xf numFmtId="166" fontId="26" fillId="7" borderId="0" xfId="7" applyFont="1" applyFill="1" applyAlignment="1">
      <alignment horizontal="center"/>
    </xf>
    <xf numFmtId="168" fontId="22" fillId="5" borderId="1" xfId="7" applyNumberFormat="1" applyFont="1" applyFill="1" applyBorder="1" applyAlignment="1">
      <alignment horizontal="center" vertical="center"/>
    </xf>
    <xf numFmtId="168" fontId="22" fillId="5" borderId="0" xfId="7" applyNumberFormat="1" applyFont="1" applyFill="1" applyAlignment="1">
      <alignment horizontal="center" vertical="center"/>
    </xf>
    <xf numFmtId="166" fontId="21" fillId="5" borderId="0" xfId="7" applyFont="1" applyFill="1" applyAlignment="1">
      <alignment horizontal="center" vertical="center" wrapText="1"/>
    </xf>
    <xf numFmtId="167" fontId="12" fillId="2" borderId="0" xfId="0" applyNumberFormat="1" applyFont="1" applyFill="1" applyAlignment="1">
      <alignment horizontal="left" vertical="center"/>
    </xf>
    <xf numFmtId="167" fontId="6" fillId="2" borderId="0" xfId="0" applyNumberFormat="1" applyFont="1" applyFill="1" applyAlignment="1">
      <alignment horizontal="center" vertical="center"/>
    </xf>
    <xf numFmtId="0" fontId="6" fillId="3" borderId="0" xfId="0" applyFont="1" applyFill="1" applyAlignment="1">
      <alignment horizontal="center" vertical="center"/>
    </xf>
    <xf numFmtId="0" fontId="0" fillId="2" borderId="0" xfId="0" applyFill="1"/>
    <xf numFmtId="0" fontId="3" fillId="2" borderId="0" xfId="0" applyFont="1" applyFill="1"/>
    <xf numFmtId="0" fontId="0" fillId="2" borderId="0" xfId="0" applyFill="1" applyAlignment="1">
      <alignment horizontal="left" indent="2"/>
    </xf>
    <xf numFmtId="0" fontId="4" fillId="2" borderId="0" xfId="0" applyFont="1" applyFill="1"/>
    <xf numFmtId="0" fontId="5" fillId="2" borderId="0" xfId="0" applyFont="1" applyFill="1"/>
    <xf numFmtId="0" fontId="6" fillId="3" borderId="0" xfId="0" applyFont="1" applyFill="1" applyAlignment="1">
      <alignment horizontal="center" vertical="center"/>
    </xf>
    <xf numFmtId="0" fontId="6" fillId="3" borderId="0" xfId="0" applyFont="1" applyFill="1" applyAlignment="1">
      <alignment vertical="center"/>
    </xf>
    <xf numFmtId="167" fontId="5" fillId="2" borderId="0" xfId="3" applyNumberFormat="1" applyFont="1" applyFill="1" applyBorder="1" applyProtection="1"/>
    <xf numFmtId="167" fontId="6" fillId="2" borderId="0" xfId="0" applyNumberFormat="1" applyFont="1" applyFill="1" applyAlignment="1">
      <alignment horizontal="center" vertical="center"/>
    </xf>
    <xf numFmtId="167" fontId="6" fillId="2" borderId="0" xfId="0" applyNumberFormat="1" applyFont="1" applyFill="1" applyAlignment="1">
      <alignment vertical="center"/>
    </xf>
    <xf numFmtId="0" fontId="4" fillId="2" borderId="0" xfId="0" applyFont="1" applyFill="1" applyAlignment="1">
      <alignment horizontal="center"/>
    </xf>
    <xf numFmtId="0" fontId="7" fillId="2" borderId="0" xfId="0" applyFont="1" applyFill="1"/>
    <xf numFmtId="167" fontId="8" fillId="2" borderId="0" xfId="0" applyNumberFormat="1" applyFont="1" applyFill="1" applyAlignment="1">
      <alignment horizontal="left" vertical="center"/>
    </xf>
    <xf numFmtId="167" fontId="8" fillId="2" borderId="0" xfId="0" applyNumberFormat="1" applyFont="1" applyFill="1" applyAlignment="1">
      <alignment horizontal="center" vertical="center"/>
    </xf>
    <xf numFmtId="0" fontId="6" fillId="2" borderId="0" xfId="0" applyFont="1" applyFill="1" applyAlignment="1">
      <alignment vertical="center"/>
    </xf>
    <xf numFmtId="0" fontId="5" fillId="2" borderId="0" xfId="0" applyFont="1" applyFill="1" applyAlignment="1">
      <alignment horizontal="left" vertical="center"/>
    </xf>
    <xf numFmtId="9" fontId="4" fillId="2" borderId="0" xfId="0" applyNumberFormat="1" applyFont="1" applyFill="1" applyAlignment="1">
      <alignment horizontal="center"/>
    </xf>
    <xf numFmtId="9" fontId="4" fillId="2" borderId="0" xfId="0" applyNumberFormat="1" applyFont="1" applyFill="1" applyAlignment="1">
      <alignment horizontal="left"/>
    </xf>
    <xf numFmtId="9" fontId="5" fillId="2" borderId="0" xfId="0" applyNumberFormat="1" applyFont="1" applyFill="1" applyAlignment="1">
      <alignment horizontal="center"/>
    </xf>
    <xf numFmtId="9" fontId="4" fillId="2" borderId="0" xfId="0" applyNumberFormat="1" applyFont="1" applyFill="1"/>
    <xf numFmtId="0" fontId="5" fillId="2" borderId="0" xfId="0" applyFont="1" applyFill="1" applyAlignment="1">
      <alignment horizontal="center" vertical="center"/>
    </xf>
    <xf numFmtId="0" fontId="8" fillId="2" borderId="0" xfId="0" applyFont="1" applyFill="1"/>
    <xf numFmtId="167" fontId="8" fillId="2" borderId="0" xfId="0" applyNumberFormat="1" applyFont="1" applyFill="1" applyAlignment="1">
      <alignment horizontal="left" vertical="center" indent="1"/>
    </xf>
    <xf numFmtId="0" fontId="8" fillId="2" borderId="0" xfId="0" applyFont="1" applyFill="1" applyAlignment="1">
      <alignment horizontal="center"/>
    </xf>
    <xf numFmtId="0" fontId="9" fillId="2" borderId="0" xfId="0" applyFont="1" applyFill="1"/>
    <xf numFmtId="0" fontId="10" fillId="2" borderId="0" xfId="0" applyFont="1" applyFill="1"/>
    <xf numFmtId="0" fontId="11" fillId="2" borderId="0" xfId="0" applyFont="1" applyFill="1"/>
    <xf numFmtId="167" fontId="12" fillId="2" borderId="0" xfId="0" applyNumberFormat="1" applyFont="1" applyFill="1" applyAlignment="1">
      <alignment horizontal="left" vertical="center"/>
    </xf>
    <xf numFmtId="0" fontId="12" fillId="2" borderId="0" xfId="0" applyFont="1" applyFill="1" applyAlignment="1">
      <alignment horizontal="left" vertical="center"/>
    </xf>
    <xf numFmtId="0" fontId="13" fillId="2" borderId="0" xfId="0" applyFont="1" applyFill="1"/>
    <xf numFmtId="167" fontId="13" fillId="2" borderId="0" xfId="0" applyNumberFormat="1" applyFont="1" applyFill="1" applyAlignment="1">
      <alignment horizontal="center"/>
    </xf>
    <xf numFmtId="9" fontId="13" fillId="2" borderId="0" xfId="0" applyNumberFormat="1" applyFont="1" applyFill="1" applyAlignment="1">
      <alignment horizontal="center"/>
    </xf>
    <xf numFmtId="166" fontId="14" fillId="2" borderId="0" xfId="7" applyFont="1" applyFill="1" applyAlignment="1">
      <alignment vertical="center"/>
    </xf>
    <xf numFmtId="167" fontId="12" fillId="2" borderId="0" xfId="8" applyNumberFormat="1" applyFont="1" applyFill="1" applyBorder="1" applyAlignment="1" applyProtection="1">
      <alignment horizontal="left"/>
    </xf>
    <xf numFmtId="1" fontId="13" fillId="2" borderId="0" xfId="0" applyNumberFormat="1" applyFont="1" applyFill="1" applyAlignment="1">
      <alignment horizontal="center"/>
    </xf>
    <xf numFmtId="167" fontId="13" fillId="2" borderId="0" xfId="3" applyNumberFormat="1" applyFont="1" applyFill="1" applyBorder="1" applyAlignment="1" applyProtection="1">
      <alignment horizontal="right"/>
    </xf>
    <xf numFmtId="1" fontId="13" fillId="2" borderId="0" xfId="0" applyNumberFormat="1" applyFont="1" applyFill="1" applyAlignment="1">
      <alignment horizontal="right"/>
    </xf>
    <xf numFmtId="0" fontId="4" fillId="2" borderId="0" xfId="0" applyFont="1" applyFill="1" applyAlignment="1">
      <alignment horizontal="left" vertical="center"/>
    </xf>
    <xf numFmtId="167" fontId="12" fillId="2" borderId="0" xfId="0" applyNumberFormat="1" applyFont="1" applyFill="1" applyAlignment="1">
      <alignment vertical="center"/>
    </xf>
    <xf numFmtId="9" fontId="12" fillId="2" borderId="0" xfId="0" applyNumberFormat="1" applyFont="1" applyFill="1" applyAlignment="1">
      <alignment horizontal="center"/>
    </xf>
    <xf numFmtId="2" fontId="13" fillId="2" borderId="0" xfId="0" applyNumberFormat="1" applyFont="1" applyFill="1" applyAlignment="1">
      <alignment horizontal="right"/>
    </xf>
    <xf numFmtId="9" fontId="13" fillId="2" borderId="0" xfId="0" applyNumberFormat="1" applyFont="1" applyFill="1" applyAlignment="1">
      <alignment horizontal="right"/>
    </xf>
    <xf numFmtId="167" fontId="15" fillId="2" borderId="0" xfId="0" applyNumberFormat="1" applyFont="1" applyFill="1" applyAlignment="1">
      <alignment horizontal="left" vertical="center"/>
    </xf>
    <xf numFmtId="0" fontId="16" fillId="2" borderId="0" xfId="0" applyFont="1" applyFill="1" applyAlignment="1">
      <alignment horizontal="left" vertical="center"/>
    </xf>
    <xf numFmtId="0" fontId="17" fillId="2" borderId="0" xfId="0" applyFont="1" applyFill="1"/>
    <xf numFmtId="0" fontId="16" fillId="2" borderId="0" xfId="0" applyFont="1" applyFill="1" applyAlignment="1">
      <alignment horizontal="center" vertical="center"/>
    </xf>
    <xf numFmtId="0" fontId="18" fillId="2" borderId="0" xfId="0" applyFont="1" applyFill="1"/>
    <xf numFmtId="0" fontId="12" fillId="2" borderId="0" xfId="0" applyFont="1" applyFill="1" applyAlignment="1">
      <alignment horizontal="center"/>
    </xf>
    <xf numFmtId="0" fontId="12" fillId="2" borderId="0" xfId="0" applyFont="1" applyFill="1"/>
    <xf numFmtId="9" fontId="19" fillId="2" borderId="0" xfId="0" applyNumberFormat="1" applyFont="1" applyFill="1" applyAlignment="1">
      <alignment horizontal="right"/>
    </xf>
    <xf numFmtId="0" fontId="20" fillId="2" borderId="0" xfId="0" applyFont="1" applyFill="1"/>
    <xf numFmtId="0" fontId="4" fillId="3" borderId="0" xfId="0" applyFont="1" applyFill="1"/>
    <xf numFmtId="166" fontId="1" fillId="0" borderId="0" xfId="7"/>
    <xf numFmtId="0" fontId="1" fillId="0" borderId="0" xfId="7" applyNumberFormat="1"/>
    <xf numFmtId="166" fontId="1" fillId="0" borderId="0" xfId="7" applyAlignment="1">
      <alignment horizontal="center"/>
    </xf>
    <xf numFmtId="166" fontId="1" fillId="4" borderId="0" xfId="7" applyFill="1" applyAlignment="1">
      <alignment horizontal="center"/>
    </xf>
    <xf numFmtId="166" fontId="1" fillId="4" borderId="0" xfId="7" applyFill="1"/>
    <xf numFmtId="166" fontId="1" fillId="0" borderId="1" xfId="7" applyBorder="1" applyAlignment="1">
      <alignment horizontal="center"/>
    </xf>
    <xf numFmtId="166" fontId="1" fillId="0" borderId="0" xfId="7" applyAlignment="1">
      <alignment horizontal="center" vertical="center"/>
    </xf>
    <xf numFmtId="166" fontId="1" fillId="0" borderId="1" xfId="7" applyBorder="1"/>
    <xf numFmtId="9" fontId="33" fillId="0" borderId="0" xfId="8" applyBorder="1" applyAlignment="1" applyProtection="1">
      <alignment horizontal="center"/>
    </xf>
    <xf numFmtId="166" fontId="21" fillId="5" borderId="0" xfId="7" applyFont="1" applyFill="1" applyAlignment="1">
      <alignment horizontal="center" vertical="center"/>
    </xf>
    <xf numFmtId="0" fontId="21" fillId="5" borderId="0" xfId="7" applyNumberFormat="1" applyFont="1" applyFill="1" applyAlignment="1">
      <alignment horizontal="center" vertical="center"/>
    </xf>
    <xf numFmtId="166" fontId="21" fillId="5" borderId="0" xfId="7" applyFont="1" applyFill="1" applyAlignment="1">
      <alignment horizontal="center" vertical="center" wrapText="1"/>
    </xf>
    <xf numFmtId="166" fontId="22" fillId="5" borderId="0" xfId="7" applyFont="1" applyFill="1" applyAlignment="1">
      <alignment horizontal="center"/>
    </xf>
    <xf numFmtId="168" fontId="22" fillId="5" borderId="0" xfId="7" applyNumberFormat="1" applyFont="1" applyFill="1" applyAlignment="1">
      <alignment horizontal="center" vertical="center"/>
    </xf>
    <xf numFmtId="166" fontId="22" fillId="5" borderId="0" xfId="7" applyFont="1" applyFill="1"/>
    <xf numFmtId="9" fontId="22" fillId="5" borderId="0" xfId="8" applyFont="1" applyFill="1" applyBorder="1" applyAlignment="1" applyProtection="1">
      <alignment horizontal="center"/>
    </xf>
    <xf numFmtId="166" fontId="21" fillId="5" borderId="2" xfId="7" applyFont="1" applyFill="1" applyBorder="1" applyAlignment="1">
      <alignment horizontal="center" vertical="center"/>
    </xf>
    <xf numFmtId="0" fontId="21" fillId="5" borderId="2" xfId="7" applyNumberFormat="1" applyFont="1" applyFill="1" applyBorder="1" applyAlignment="1">
      <alignment horizontal="center" vertical="center"/>
    </xf>
    <xf numFmtId="166" fontId="21" fillId="5" borderId="2" xfId="7" applyFont="1" applyFill="1" applyBorder="1" applyAlignment="1">
      <alignment horizontal="center" vertical="center" wrapText="1"/>
    </xf>
    <xf numFmtId="169" fontId="23" fillId="0" borderId="1" xfId="7" applyNumberFormat="1" applyFont="1" applyBorder="1" applyAlignment="1">
      <alignment horizontal="center" vertical="center"/>
    </xf>
    <xf numFmtId="2" fontId="24" fillId="0" borderId="0" xfId="1" applyNumberFormat="1" applyFont="1" applyBorder="1" applyAlignment="1" applyProtection="1">
      <alignment vertical="center"/>
    </xf>
    <xf numFmtId="167" fontId="24" fillId="0" borderId="0" xfId="8" applyNumberFormat="1" applyFont="1" applyBorder="1" applyAlignment="1" applyProtection="1">
      <alignment horizontal="center" vertical="center"/>
    </xf>
    <xf numFmtId="9" fontId="24" fillId="0" borderId="0" xfId="8" applyFont="1" applyBorder="1" applyAlignment="1" applyProtection="1">
      <alignment horizontal="center" vertical="center"/>
    </xf>
    <xf numFmtId="170" fontId="24" fillId="0" borderId="0" xfId="8" applyNumberFormat="1" applyFont="1" applyBorder="1" applyAlignment="1" applyProtection="1">
      <alignment horizontal="center" vertical="center"/>
    </xf>
    <xf numFmtId="0" fontId="24" fillId="0" borderId="0" xfId="8" applyNumberFormat="1" applyFont="1" applyBorder="1" applyAlignment="1" applyProtection="1">
      <alignment horizontal="center" vertical="center"/>
    </xf>
    <xf numFmtId="171" fontId="24" fillId="0" borderId="0" xfId="4" applyNumberFormat="1" applyFont="1" applyBorder="1" applyAlignment="1" applyProtection="1">
      <alignment horizontal="center" vertical="center"/>
    </xf>
    <xf numFmtId="172" fontId="24" fillId="4" borderId="0" xfId="4" applyNumberFormat="1" applyFont="1" applyFill="1" applyBorder="1" applyAlignment="1" applyProtection="1">
      <alignment horizontal="center" vertical="center"/>
    </xf>
    <xf numFmtId="1" fontId="24" fillId="4" borderId="0" xfId="8" applyNumberFormat="1" applyFont="1" applyFill="1" applyBorder="1" applyAlignment="1" applyProtection="1">
      <alignment horizontal="center" vertical="center"/>
    </xf>
    <xf numFmtId="173" fontId="24" fillId="4" borderId="0" xfId="4" applyNumberFormat="1" applyFont="1" applyFill="1" applyBorder="1" applyAlignment="1" applyProtection="1">
      <alignment horizontal="center" vertical="center"/>
    </xf>
    <xf numFmtId="1" fontId="24" fillId="0" borderId="0" xfId="8" applyNumberFormat="1" applyFont="1" applyBorder="1" applyAlignment="1" applyProtection="1">
      <alignment horizontal="center" vertical="center"/>
    </xf>
    <xf numFmtId="174" fontId="24" fillId="0" borderId="0" xfId="4" applyNumberFormat="1" applyFont="1" applyBorder="1" applyAlignment="1" applyProtection="1">
      <alignment horizontal="center" vertical="center"/>
    </xf>
    <xf numFmtId="1" fontId="24" fillId="0" borderId="0" xfId="4" applyNumberFormat="1" applyFont="1" applyBorder="1" applyAlignment="1" applyProtection="1">
      <alignment horizontal="center" vertical="center"/>
    </xf>
    <xf numFmtId="166" fontId="25" fillId="0" borderId="0" xfId="7" applyFont="1" applyAlignment="1">
      <alignment horizontal="left"/>
    </xf>
    <xf numFmtId="9" fontId="25" fillId="0" borderId="0" xfId="8" applyFont="1" applyBorder="1" applyAlignment="1" applyProtection="1">
      <alignment horizontal="center"/>
    </xf>
    <xf numFmtId="2" fontId="1" fillId="0" borderId="0" xfId="2" applyNumberFormat="1" applyFont="1" applyBorder="1" applyAlignment="1" applyProtection="1">
      <alignment horizontal="center"/>
    </xf>
    <xf numFmtId="1" fontId="1" fillId="0" borderId="0" xfId="7" applyNumberFormat="1" applyAlignment="1">
      <alignment horizontal="center"/>
    </xf>
    <xf numFmtId="2" fontId="26" fillId="2" borderId="1" xfId="7" applyNumberFormat="1" applyFont="1" applyFill="1" applyBorder="1" applyAlignment="1">
      <alignment horizontal="center"/>
    </xf>
    <xf numFmtId="166" fontId="1" fillId="6" borderId="0" xfId="7" applyFill="1" applyAlignment="1">
      <alignment horizontal="left"/>
    </xf>
    <xf numFmtId="164" fontId="26" fillId="2" borderId="0" xfId="4" applyFont="1" applyFill="1" applyBorder="1" applyAlignment="1" applyProtection="1">
      <alignment horizontal="center"/>
    </xf>
    <xf numFmtId="164" fontId="33" fillId="7" borderId="0" xfId="4" applyFill="1" applyBorder="1" applyAlignment="1" applyProtection="1">
      <alignment horizontal="center"/>
    </xf>
    <xf numFmtId="2" fontId="33" fillId="7" borderId="0" xfId="4" applyNumberFormat="1" applyFill="1" applyBorder="1" applyAlignment="1" applyProtection="1">
      <alignment horizontal="center"/>
    </xf>
    <xf numFmtId="166" fontId="1" fillId="0" borderId="0" xfId="7" applyAlignment="1">
      <alignment horizontal="left"/>
    </xf>
    <xf numFmtId="166" fontId="1" fillId="8" borderId="0" xfId="7" applyFill="1" applyAlignment="1">
      <alignment horizontal="left"/>
    </xf>
    <xf numFmtId="10" fontId="33" fillId="8" borderId="0" xfId="8" applyNumberFormat="1" applyFill="1" applyBorder="1" applyAlignment="1" applyProtection="1">
      <alignment horizontal="left"/>
    </xf>
    <xf numFmtId="174" fontId="33" fillId="8" borderId="0" xfId="4" applyNumberFormat="1" applyFill="1" applyBorder="1" applyAlignment="1" applyProtection="1">
      <alignment horizontal="left"/>
    </xf>
    <xf numFmtId="2" fontId="33" fillId="8" borderId="0" xfId="4" applyNumberFormat="1" applyFill="1" applyBorder="1" applyAlignment="1" applyProtection="1">
      <alignment horizontal="center"/>
    </xf>
    <xf numFmtId="164" fontId="33" fillId="8" borderId="0" xfId="4" applyFill="1" applyBorder="1" applyAlignment="1" applyProtection="1">
      <alignment horizontal="left"/>
    </xf>
    <xf numFmtId="174" fontId="33" fillId="8" borderId="0" xfId="4" applyNumberFormat="1" applyFill="1" applyBorder="1" applyProtection="1"/>
    <xf numFmtId="171" fontId="33" fillId="8" borderId="0" xfId="4" applyNumberFormat="1" applyFill="1" applyBorder="1" applyProtection="1"/>
    <xf numFmtId="9" fontId="33" fillId="0" borderId="0" xfId="8" applyBorder="1" applyProtection="1"/>
    <xf numFmtId="164" fontId="33" fillId="0" borderId="0" xfId="4" applyBorder="1" applyProtection="1"/>
    <xf numFmtId="174" fontId="33" fillId="0" borderId="1" xfId="4" applyNumberFormat="1" applyBorder="1" applyAlignment="1" applyProtection="1">
      <alignment horizontal="center"/>
    </xf>
    <xf numFmtId="1" fontId="1" fillId="0" borderId="1" xfId="7" applyNumberFormat="1" applyBorder="1" applyAlignment="1">
      <alignment horizontal="left"/>
    </xf>
    <xf numFmtId="1" fontId="1" fillId="0" borderId="0" xfId="7" applyNumberFormat="1"/>
    <xf numFmtId="175" fontId="27" fillId="2" borderId="1" xfId="7" applyNumberFormat="1" applyFont="1" applyFill="1" applyBorder="1" applyAlignment="1">
      <alignment horizontal="center" vertical="center"/>
    </xf>
    <xf numFmtId="175" fontId="27" fillId="2" borderId="0" xfId="7" applyNumberFormat="1" applyFont="1" applyFill="1" applyAlignment="1">
      <alignment horizontal="center" vertical="center"/>
    </xf>
    <xf numFmtId="9" fontId="28" fillId="2" borderId="0" xfId="8" applyFont="1" applyFill="1" applyBorder="1" applyAlignment="1" applyProtection="1">
      <alignment vertical="center"/>
    </xf>
    <xf numFmtId="176" fontId="27" fillId="2" borderId="0" xfId="7" applyNumberFormat="1" applyFont="1" applyFill="1" applyAlignment="1">
      <alignment horizontal="center" vertical="center"/>
    </xf>
    <xf numFmtId="177" fontId="27" fillId="2" borderId="0" xfId="8" applyNumberFormat="1" applyFont="1" applyFill="1" applyBorder="1" applyAlignment="1" applyProtection="1">
      <alignment horizontal="center" vertical="center"/>
    </xf>
    <xf numFmtId="9" fontId="27" fillId="2" borderId="0" xfId="8" applyFont="1" applyFill="1" applyBorder="1" applyAlignment="1" applyProtection="1">
      <alignment horizontal="center" vertical="center"/>
    </xf>
    <xf numFmtId="9" fontId="28" fillId="2" borderId="0" xfId="8" applyFont="1" applyFill="1" applyBorder="1" applyAlignment="1" applyProtection="1">
      <alignment horizontal="center" vertical="center"/>
    </xf>
    <xf numFmtId="9" fontId="24" fillId="0" borderId="0" xfId="3" applyFont="1" applyBorder="1" applyAlignment="1" applyProtection="1">
      <alignment horizontal="center" vertical="center"/>
    </xf>
    <xf numFmtId="174" fontId="33" fillId="0" borderId="0" xfId="4" applyNumberFormat="1" applyBorder="1" applyAlignment="1" applyProtection="1">
      <alignment horizontal="left"/>
    </xf>
    <xf numFmtId="167" fontId="25" fillId="0" borderId="0" xfId="8" applyNumberFormat="1" applyFont="1" applyBorder="1" applyAlignment="1" applyProtection="1">
      <alignment horizontal="center"/>
    </xf>
    <xf numFmtId="2" fontId="33" fillId="0" borderId="0" xfId="2" applyNumberFormat="1" applyBorder="1" applyAlignment="1" applyProtection="1">
      <alignment horizontal="center"/>
    </xf>
    <xf numFmtId="1" fontId="1" fillId="0" borderId="1" xfId="7" applyNumberFormat="1" applyBorder="1" applyAlignment="1">
      <alignment horizontal="center"/>
    </xf>
    <xf numFmtId="10" fontId="24" fillId="0" borderId="0" xfId="8" applyNumberFormat="1" applyFont="1" applyBorder="1" applyAlignment="1" applyProtection="1">
      <alignment horizontal="center" vertical="center"/>
    </xf>
    <xf numFmtId="166" fontId="1" fillId="8" borderId="0" xfId="7" applyFill="1"/>
    <xf numFmtId="167" fontId="1" fillId="0" borderId="0" xfId="8" applyNumberFormat="1" applyFont="1" applyBorder="1" applyAlignment="1" applyProtection="1">
      <alignment horizontal="center"/>
    </xf>
    <xf numFmtId="165" fontId="33" fillId="0" borderId="0" xfId="5" applyBorder="1" applyProtection="1"/>
    <xf numFmtId="9" fontId="1" fillId="0" borderId="0" xfId="7" applyNumberFormat="1"/>
    <xf numFmtId="174" fontId="33" fillId="4" borderId="0" xfId="4" applyNumberFormat="1" applyFill="1" applyBorder="1" applyProtection="1"/>
    <xf numFmtId="174" fontId="33" fillId="0" borderId="0" xfId="4" applyNumberFormat="1" applyBorder="1" applyProtection="1"/>
    <xf numFmtId="171" fontId="33" fillId="8" borderId="0" xfId="4" applyNumberFormat="1" applyFill="1" applyBorder="1" applyAlignment="1" applyProtection="1">
      <alignment horizontal="left"/>
    </xf>
    <xf numFmtId="174" fontId="33" fillId="0" borderId="0" xfId="4" applyNumberFormat="1" applyBorder="1" applyAlignment="1" applyProtection="1">
      <alignment horizontal="center"/>
    </xf>
    <xf numFmtId="166" fontId="26" fillId="2" borderId="0" xfId="7" applyFont="1" applyFill="1"/>
    <xf numFmtId="166" fontId="26" fillId="0" borderId="0" xfId="7" applyFont="1"/>
    <xf numFmtId="167" fontId="1" fillId="0" borderId="0" xfId="8" applyNumberFormat="1" applyFont="1" applyBorder="1" applyAlignment="1" applyProtection="1">
      <alignment horizontal="left"/>
    </xf>
    <xf numFmtId="167" fontId="33" fillId="0" borderId="0" xfId="8" applyNumberFormat="1" applyBorder="1" applyAlignment="1" applyProtection="1">
      <alignment horizontal="left"/>
    </xf>
    <xf numFmtId="164" fontId="33" fillId="0" borderId="0" xfId="4" applyBorder="1" applyAlignment="1" applyProtection="1">
      <alignment horizontal="left"/>
    </xf>
    <xf numFmtId="166" fontId="1" fillId="2" borderId="1" xfId="7" applyFill="1" applyBorder="1"/>
    <xf numFmtId="166" fontId="29" fillId="2" borderId="0" xfId="7" applyFont="1" applyFill="1"/>
    <xf numFmtId="174" fontId="29" fillId="2" borderId="0" xfId="4" applyNumberFormat="1" applyFont="1" applyFill="1" applyBorder="1" applyAlignment="1" applyProtection="1">
      <alignment vertical="center"/>
    </xf>
    <xf numFmtId="166" fontId="29" fillId="0" borderId="0" xfId="7" applyFont="1" applyAlignment="1">
      <alignment horizontal="left"/>
    </xf>
    <xf numFmtId="166" fontId="1" fillId="0" borderId="0" xfId="7" applyAlignment="1">
      <alignment horizontal="left" vertical="center"/>
    </xf>
    <xf numFmtId="166" fontId="1" fillId="7" borderId="1" xfId="7" applyFill="1" applyBorder="1"/>
    <xf numFmtId="166" fontId="1" fillId="7" borderId="0" xfId="7" applyFill="1" applyAlignment="1">
      <alignment horizontal="left"/>
    </xf>
    <xf numFmtId="174" fontId="29" fillId="7" borderId="0" xfId="4" applyNumberFormat="1" applyFont="1" applyFill="1" applyBorder="1" applyAlignment="1" applyProtection="1">
      <alignment vertical="center"/>
    </xf>
    <xf numFmtId="166" fontId="1" fillId="2" borderId="0" xfId="7" applyFill="1" applyAlignment="1">
      <alignment horizontal="left"/>
    </xf>
    <xf numFmtId="1" fontId="29" fillId="2" borderId="0" xfId="7" applyNumberFormat="1" applyFont="1" applyFill="1" applyAlignment="1">
      <alignment vertical="center"/>
    </xf>
    <xf numFmtId="1" fontId="29" fillId="7" borderId="0" xfId="7" applyNumberFormat="1" applyFont="1" applyFill="1" applyAlignment="1">
      <alignment vertical="center"/>
    </xf>
    <xf numFmtId="164" fontId="33" fillId="2" borderId="0" xfId="4" applyFill="1" applyBorder="1" applyAlignment="1" applyProtection="1">
      <alignment horizontal="center"/>
    </xf>
    <xf numFmtId="166" fontId="1" fillId="0" borderId="1" xfId="7" applyBorder="1" applyAlignment="1">
      <alignment horizontal="left"/>
    </xf>
    <xf numFmtId="9" fontId="1" fillId="0" borderId="0" xfId="8" applyFont="1" applyBorder="1" applyAlignment="1" applyProtection="1">
      <alignment horizontal="center"/>
    </xf>
    <xf numFmtId="164" fontId="33" fillId="0" borderId="1" xfId="4" applyBorder="1" applyProtection="1"/>
    <xf numFmtId="168" fontId="22" fillId="5" borderId="1" xfId="7" applyNumberFormat="1" applyFont="1" applyFill="1" applyBorder="1" applyAlignment="1">
      <alignment horizontal="left" vertical="center"/>
    </xf>
    <xf numFmtId="166" fontId="25" fillId="0" borderId="0" xfId="7" applyFont="1"/>
    <xf numFmtId="168" fontId="0" fillId="0" borderId="0" xfId="0" applyNumberFormat="1"/>
    <xf numFmtId="9" fontId="33" fillId="0" borderId="0" xfId="3" applyBorder="1" applyProtection="1"/>
    <xf numFmtId="9" fontId="0" fillId="0" borderId="0" xfId="0" applyNumberFormat="1"/>
    <xf numFmtId="2" fontId="0" fillId="0" borderId="0" xfId="0" applyNumberFormat="1"/>
    <xf numFmtId="0" fontId="6" fillId="9" borderId="0" xfId="0" applyFont="1" applyFill="1" applyAlignment="1">
      <alignment vertical="center"/>
    </xf>
    <xf numFmtId="9" fontId="13" fillId="2" borderId="0" xfId="0" applyNumberFormat="1" applyFont="1" applyFill="1" applyAlignment="1">
      <alignment horizontal="left"/>
    </xf>
    <xf numFmtId="0" fontId="3" fillId="0" borderId="0" xfId="0" applyFont="1"/>
    <xf numFmtId="0" fontId="30" fillId="0" borderId="0" xfId="0" applyFont="1"/>
    <xf numFmtId="0" fontId="31" fillId="0" borderId="0" xfId="0" applyFont="1" applyAlignment="1">
      <alignment vertical="center" wrapText="1"/>
    </xf>
    <xf numFmtId="0" fontId="32" fillId="0" borderId="3" xfId="0" applyFont="1" applyBorder="1" applyAlignment="1">
      <alignment vertical="center" wrapText="1"/>
    </xf>
    <xf numFmtId="0" fontId="0" fillId="2" borderId="0" xfId="0" applyFill="1" applyAlignment="1">
      <alignment vertical="center" wrapText="1"/>
    </xf>
    <xf numFmtId="0" fontId="0" fillId="0" borderId="0" xfId="0" applyAlignment="1">
      <alignment vertical="center" wrapText="1"/>
    </xf>
    <xf numFmtId="14" fontId="4" fillId="2" borderId="0" xfId="0" applyNumberFormat="1" applyFont="1" applyFill="1"/>
    <xf numFmtId="14" fontId="0" fillId="0" borderId="0" xfId="0" applyNumberFormat="1"/>
  </cellXfs>
  <cellStyles count="10">
    <cellStyle name="Comma" xfId="1" builtinId="3"/>
    <cellStyle name="Comma 2" xfId="4" xr:uid="{00000000-0005-0000-0000-000006000000}"/>
    <cellStyle name="Currency" xfId="2" builtinId="4"/>
    <cellStyle name="Currency 2" xfId="5" xr:uid="{00000000-0005-0000-0000-000007000000}"/>
    <cellStyle name="Normal" xfId="0" builtinId="0"/>
    <cellStyle name="Normal 2" xfId="6" xr:uid="{00000000-0005-0000-0000-000008000000}"/>
    <cellStyle name="Normal 3" xfId="7" xr:uid="{00000000-0005-0000-0000-000009000000}"/>
    <cellStyle name="Percent" xfId="3" builtinId="5"/>
    <cellStyle name="Percent 2" xfId="8" xr:uid="{00000000-0005-0000-0000-00000A000000}"/>
    <cellStyle name="Style 1" xfId="9" xr:uid="{00000000-0005-0000-0000-00000B000000}"/>
  </cellStyles>
  <dxfs count="1">
    <dxf>
      <fill>
        <patternFill>
          <bgColor theme="3" tint="0.7998901333658864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7F5F52"/>
      <rgbColor rgb="FF800080"/>
      <rgbColor rgb="FF008080"/>
      <rgbColor rgb="FFC7BFBC"/>
      <rgbColor rgb="FF8B8B8B"/>
      <rgbColor rgb="FFA6A6A6"/>
      <rgbColor rgb="FF705448"/>
      <rgbColor rgb="FFF5F5F5"/>
      <rgbColor rgb="FFF2F2F2"/>
      <rgbColor rgb="FF660066"/>
      <rgbColor rgb="FFFF8080"/>
      <rgbColor rgb="FF0066CC"/>
      <rgbColor rgb="FFD6D6D6"/>
      <rgbColor rgb="FF000080"/>
      <rgbColor rgb="FFFF00FF"/>
      <rgbColor rgb="FFFFFF00"/>
      <rgbColor rgb="FF00FFFF"/>
      <rgbColor rgb="FF800080"/>
      <rgbColor rgb="FF800000"/>
      <rgbColor rgb="FF008080"/>
      <rgbColor rgb="FF0000FF"/>
      <rgbColor rgb="FF00CCFF"/>
      <rgbColor rgb="FFE5E7EB"/>
      <rgbColor rgb="FFF0E5DA"/>
      <rgbColor rgb="FFFADDCD"/>
      <rgbColor rgb="FFD9D9D9"/>
      <rgbColor rgb="FFFF99CC"/>
      <rgbColor rgb="FFCC99FF"/>
      <rgbColor rgb="FFF9CFC2"/>
      <rgbColor rgb="FF3366FF"/>
      <rgbColor rgb="FF33CCCC"/>
      <rgbColor rgb="FF99CC00"/>
      <rgbColor rgb="FFFFCC00"/>
      <rgbColor rgb="FFFF9900"/>
      <rgbColor rgb="FFFF6600"/>
      <rgbColor rgb="FF6B7281"/>
      <rgbColor rgb="FFA89994"/>
      <rgbColor rgb="FF003366"/>
      <rgbColor rgb="FF595959"/>
      <rgbColor rgb="FF07080A"/>
      <rgbColor rgb="FF404040"/>
      <rgbColor rgb="FFAE1E2E"/>
      <rgbColor rgb="FF60483E"/>
      <rgbColor rgb="FF4B5563"/>
      <rgbColor rgb="FF32323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manualLayout>
          <c:layoutTarget val="inner"/>
          <c:xMode val="edge"/>
          <c:yMode val="edge"/>
          <c:x val="4.8588358313001102E-2"/>
          <c:y val="0"/>
          <c:w val="0.89449285465318895"/>
          <c:h val="0.99990716672855595"/>
        </c:manualLayout>
      </c:layout>
      <c:lineChart>
        <c:grouping val="standard"/>
        <c:varyColors val="0"/>
        <c:ser>
          <c:idx val="0"/>
          <c:order val="0"/>
          <c:spPr>
            <a:ln w="28440" cap="rnd">
              <a:solidFill>
                <a:srgbClr val="000000"/>
              </a:solidFill>
              <a:round/>
            </a:ln>
          </c:spPr>
          <c:marker>
            <c:symbol val="none"/>
          </c:marker>
          <c:dPt>
            <c:idx val="0"/>
            <c:bubble3D val="0"/>
            <c:extLst>
              <c:ext xmlns:c16="http://schemas.microsoft.com/office/drawing/2014/chart" uri="{C3380CC4-5D6E-409C-BE32-E72D297353CC}">
                <c16:uniqueId val="{00000000-BDE7-4CD4-8C30-FC32244F8498}"/>
              </c:ext>
            </c:extLst>
          </c:dPt>
          <c:dPt>
            <c:idx val="1"/>
            <c:bubble3D val="0"/>
            <c:extLst>
              <c:ext xmlns:c16="http://schemas.microsoft.com/office/drawing/2014/chart" uri="{C3380CC4-5D6E-409C-BE32-E72D297353CC}">
                <c16:uniqueId val="{00000001-BDE7-4CD4-8C30-FC32244F8498}"/>
              </c:ext>
            </c:extLst>
          </c:dPt>
          <c:dPt>
            <c:idx val="2"/>
            <c:bubble3D val="0"/>
            <c:extLst>
              <c:ext xmlns:c16="http://schemas.microsoft.com/office/drawing/2014/chart" uri="{C3380CC4-5D6E-409C-BE32-E72D297353CC}">
                <c16:uniqueId val="{00000002-BDE7-4CD4-8C30-FC32244F8498}"/>
              </c:ext>
            </c:extLst>
          </c:dPt>
          <c:dPt>
            <c:idx val="3"/>
            <c:bubble3D val="0"/>
            <c:extLst>
              <c:ext xmlns:c16="http://schemas.microsoft.com/office/drawing/2014/chart" uri="{C3380CC4-5D6E-409C-BE32-E72D297353CC}">
                <c16:uniqueId val="{00000003-BDE7-4CD4-8C30-FC32244F8498}"/>
              </c:ext>
            </c:extLst>
          </c:dPt>
          <c:dLbls>
            <c:dLbl>
              <c:idx val="0"/>
              <c:spPr/>
              <c:txPr>
                <a:bodyPr wrap="square"/>
                <a:lstStyle/>
                <a:p>
                  <a:pPr>
                    <a:defRPr sz="1200" b="0" u="none" strike="noStrike">
                      <a:solidFill>
                        <a:srgbClr val="404040"/>
                      </a:solidFill>
                      <a:uFillTx/>
                      <a:latin typeface="Montserrat"/>
                    </a:defRPr>
                  </a:pPr>
                  <a:endParaRPr lang="en-US"/>
                </a:p>
              </c:txPr>
              <c:dLblPos val="r"/>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0-BDE7-4CD4-8C30-FC32244F8498}"/>
                </c:ext>
              </c:extLst>
            </c:dLbl>
            <c:dLbl>
              <c:idx val="1"/>
              <c:spPr/>
              <c:txPr>
                <a:bodyPr wrap="square"/>
                <a:lstStyle/>
                <a:p>
                  <a:pPr>
                    <a:defRPr sz="1200" b="0" u="none" strike="noStrike">
                      <a:solidFill>
                        <a:srgbClr val="404040"/>
                      </a:solidFill>
                      <a:uFillTx/>
                      <a:latin typeface="Montserrat"/>
                    </a:defRPr>
                  </a:pPr>
                  <a:endParaRPr lang="en-US"/>
                </a:p>
              </c:txPr>
              <c:dLblPos val="r"/>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1-BDE7-4CD4-8C30-FC32244F8498}"/>
                </c:ext>
              </c:extLst>
            </c:dLbl>
            <c:dLbl>
              <c:idx val="2"/>
              <c:spPr/>
              <c:txPr>
                <a:bodyPr wrap="square"/>
                <a:lstStyle/>
                <a:p>
                  <a:pPr>
                    <a:defRPr sz="1200" b="0" u="none" strike="noStrike">
                      <a:solidFill>
                        <a:srgbClr val="404040"/>
                      </a:solidFill>
                      <a:uFillTx/>
                      <a:latin typeface="Montserrat"/>
                    </a:defRPr>
                  </a:pPr>
                  <a:endParaRPr lang="en-US"/>
                </a:p>
              </c:txPr>
              <c:dLblPos val="r"/>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BDE7-4CD4-8C30-FC32244F8498}"/>
                </c:ext>
              </c:extLst>
            </c:dLbl>
            <c:dLbl>
              <c:idx val="3"/>
              <c:layout>
                <c:manualLayout>
                  <c:x val="0"/>
                  <c:y val="-6.55319153327652E-3"/>
                </c:manualLayout>
              </c:layout>
              <c:spPr/>
              <c:txPr>
                <a:bodyPr wrap="square"/>
                <a:lstStyle/>
                <a:p>
                  <a:pPr>
                    <a:defRPr sz="1200" b="0" u="none" strike="noStrike">
                      <a:solidFill>
                        <a:srgbClr val="404040"/>
                      </a:solidFill>
                      <a:uFillTx/>
                      <a:latin typeface="Montserrat"/>
                    </a:defRPr>
                  </a:pPr>
                  <a:endParaRPr lang="en-US"/>
                </a:p>
              </c:txPr>
              <c:dLblPos val="r"/>
              <c:showLegendKey val="0"/>
              <c:showVal val="1"/>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BDE7-4CD4-8C30-FC32244F8498}"/>
                </c:ext>
              </c:extLst>
            </c:dLbl>
            <c:spPr>
              <a:noFill/>
              <a:ln>
                <a:noFill/>
              </a:ln>
              <a:effectLst/>
            </c:spPr>
            <c:txPr>
              <a:bodyPr wrap="square"/>
              <a:lstStyle/>
              <a:p>
                <a:pPr>
                  <a:defRPr sz="1200" b="0" u="none" strike="noStrike">
                    <a:solidFill>
                      <a:srgbClr val="404040"/>
                    </a:solidFill>
                    <a:uFillTx/>
                    <a:latin typeface="Montserrat"/>
                  </a:defRPr>
                </a:pPr>
                <a:endParaRPr lang="en-US"/>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15:leaderLines>
                  <c:spPr>
                    <a:ln w="28440">
                      <a:solidFill>
                        <a:srgbClr val="000000"/>
                      </a:solidFill>
                    </a:ln>
                  </c:spPr>
                </c15:leaderLines>
              </c:ext>
            </c:extLst>
          </c:dLbls>
          <c:cat>
            <c:numRef>
              <c:f>Performancedata!$A$3:$A$6</c:f>
              <c:numCache>
                <c:formatCode>dd\ mmm\ yy</c:formatCode>
                <c:ptCount val="4"/>
                <c:pt idx="0">
                  <c:v>45838</c:v>
                </c:pt>
                <c:pt idx="1">
                  <c:v>45869</c:v>
                </c:pt>
                <c:pt idx="2">
                  <c:v>45900</c:v>
                </c:pt>
                <c:pt idx="3">
                  <c:v>45930</c:v>
                </c:pt>
              </c:numCache>
            </c:numRef>
          </c:cat>
          <c:val>
            <c:numRef>
              <c:f>Performancedata!$D$3:$D$6</c:f>
              <c:numCache>
                <c:formatCode>0.0%</c:formatCode>
                <c:ptCount val="4"/>
                <c:pt idx="0">
                  <c:v>0</c:v>
                </c:pt>
                <c:pt idx="1">
                  <c:v>2.6599999999999957E-2</c:v>
                </c:pt>
                <c:pt idx="2">
                  <c:v>5.04E-2</c:v>
                </c:pt>
                <c:pt idx="3">
                  <c:v>8.5395999999999805E-2</c:v>
                </c:pt>
              </c:numCache>
            </c:numRef>
          </c:val>
          <c:smooth val="1"/>
          <c:extLst>
            <c:ext xmlns:c16="http://schemas.microsoft.com/office/drawing/2014/chart" uri="{C3380CC4-5D6E-409C-BE32-E72D297353CC}">
              <c16:uniqueId val="{00000004-BDE7-4CD4-8C30-FC32244F8498}"/>
            </c:ext>
          </c:extLst>
        </c:ser>
        <c:dLbls>
          <c:showLegendKey val="0"/>
          <c:showVal val="0"/>
          <c:showCatName val="0"/>
          <c:showSerName val="0"/>
          <c:showPercent val="0"/>
          <c:showBubbleSize val="0"/>
        </c:dLbls>
        <c:hiLowLines>
          <c:spPr>
            <a:ln w="0">
              <a:noFill/>
            </a:ln>
          </c:spPr>
        </c:hiLowLines>
        <c:smooth val="0"/>
        <c:axId val="51544048"/>
        <c:axId val="42699417"/>
      </c:lineChart>
      <c:dateAx>
        <c:axId val="51544048"/>
        <c:scaling>
          <c:orientation val="minMax"/>
        </c:scaling>
        <c:delete val="0"/>
        <c:axPos val="b"/>
        <c:numFmt formatCode="mmm\ yy" sourceLinked="0"/>
        <c:majorTickMark val="out"/>
        <c:minorTickMark val="none"/>
        <c:tickLblPos val="nextTo"/>
        <c:spPr>
          <a:ln w="9360">
            <a:solidFill>
              <a:srgbClr val="D9D9D9"/>
            </a:solidFill>
            <a:round/>
          </a:ln>
        </c:spPr>
        <c:txPr>
          <a:bodyPr/>
          <a:lstStyle/>
          <a:p>
            <a:pPr>
              <a:defRPr sz="1600" b="0" u="none" strike="noStrike">
                <a:solidFill>
                  <a:srgbClr val="595959"/>
                </a:solidFill>
                <a:uFillTx/>
                <a:latin typeface="Aptos"/>
              </a:defRPr>
            </a:pPr>
            <a:endParaRPr lang="en-US"/>
          </a:p>
        </c:txPr>
        <c:crossAx val="42699417"/>
        <c:crosses val="autoZero"/>
        <c:auto val="1"/>
        <c:lblOffset val="100"/>
        <c:baseTimeUnit val="months"/>
      </c:dateAx>
      <c:valAx>
        <c:axId val="42699417"/>
        <c:scaling>
          <c:orientation val="minMax"/>
        </c:scaling>
        <c:delete val="0"/>
        <c:axPos val="l"/>
        <c:numFmt formatCode="0%" sourceLinked="0"/>
        <c:majorTickMark val="out"/>
        <c:minorTickMark val="none"/>
        <c:tickLblPos val="nextTo"/>
        <c:spPr>
          <a:ln w="6480">
            <a:noFill/>
          </a:ln>
        </c:spPr>
        <c:txPr>
          <a:bodyPr/>
          <a:lstStyle/>
          <a:p>
            <a:pPr>
              <a:defRPr sz="1600" b="0" u="none" strike="noStrike">
                <a:solidFill>
                  <a:srgbClr val="595959"/>
                </a:solidFill>
                <a:uFillTx/>
                <a:latin typeface="Aptos"/>
              </a:defRPr>
            </a:pPr>
            <a:endParaRPr lang="en-US"/>
          </a:p>
        </c:txPr>
        <c:crossAx val="51544048"/>
        <c:crosses val="autoZero"/>
        <c:crossBetween val="midCat"/>
      </c:valAx>
      <c:spPr>
        <a:noFill/>
        <a:ln w="0">
          <a:noFill/>
        </a:ln>
      </c:spPr>
    </c:plotArea>
    <c:plotVisOnly val="1"/>
    <c:dispBlanksAs val="gap"/>
    <c:showDLblsOverMax val="1"/>
  </c:chart>
  <c:spPr>
    <a:noFill/>
    <a:ln w="9360">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manualLayout>
          <c:layoutTarget val="inner"/>
          <c:xMode val="edge"/>
          <c:yMode val="edge"/>
          <c:x val="7.32117449230371E-2"/>
          <c:y val="0.164317228021091"/>
          <c:w val="0.85208899236838698"/>
          <c:h val="0.73162595501990801"/>
        </c:manualLayout>
      </c:layout>
      <c:barChart>
        <c:barDir val="bar"/>
        <c:grouping val="clustered"/>
        <c:varyColors val="0"/>
        <c:ser>
          <c:idx val="0"/>
          <c:order val="0"/>
          <c:spPr>
            <a:solidFill>
              <a:srgbClr val="D9D9D9"/>
            </a:solidFill>
            <a:ln w="3240">
              <a:solidFill>
                <a:srgbClr val="000000"/>
              </a:solidFill>
              <a:round/>
            </a:ln>
          </c:spPr>
          <c:invertIfNegative val="0"/>
          <c:dLbls>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Performancedata!$BQ$3:$BQ$10</c:f>
              <c:strCache>
                <c:ptCount val="8"/>
                <c:pt idx="1">
                  <c:v> 0 </c:v>
                </c:pt>
                <c:pt idx="2">
                  <c:v> 0 </c:v>
                </c:pt>
                <c:pt idx="3">
                  <c:v> 0 </c:v>
                </c:pt>
                <c:pt idx="4">
                  <c:v> METALS </c:v>
                </c:pt>
                <c:pt idx="5">
                  <c:v>HEALTH CARE</c:v>
                </c:pt>
                <c:pt idx="6">
                  <c:v>COMMUNICATIONS</c:v>
                </c:pt>
                <c:pt idx="7">
                  <c:v> CASH </c:v>
                </c:pt>
              </c:strCache>
            </c:strRef>
          </c:cat>
          <c:val>
            <c:numRef>
              <c:f>Performancedata!$BR$3:$BR$10</c:f>
              <c:numCache>
                <c:formatCode>0.0%</c:formatCode>
                <c:ptCount val="8"/>
                <c:pt idx="1">
                  <c:v>-3.857844178093461E-3</c:v>
                </c:pt>
                <c:pt idx="2" formatCode="0%">
                  <c:v>-0.10756916067491164</c:v>
                </c:pt>
                <c:pt idx="3" formatCode="0%">
                  <c:v>-0.25362020227972404</c:v>
                </c:pt>
                <c:pt idx="4" formatCode="0%">
                  <c:v>4.8742593760510919E-2</c:v>
                </c:pt>
                <c:pt idx="5" formatCode="0%">
                  <c:v>0.14000000000000001</c:v>
                </c:pt>
                <c:pt idx="6" formatCode="0%">
                  <c:v>0.25</c:v>
                </c:pt>
                <c:pt idx="7" formatCode="0%">
                  <c:v>0.54</c:v>
                </c:pt>
              </c:numCache>
            </c:numRef>
          </c:val>
          <c:extLst>
            <c:ext xmlns:c16="http://schemas.microsoft.com/office/drawing/2014/chart" uri="{C3380CC4-5D6E-409C-BE32-E72D297353CC}">
              <c16:uniqueId val="{00000000-4000-4E1F-BA38-191C0FDFC2BD}"/>
            </c:ext>
          </c:extLst>
        </c:ser>
        <c:dLbls>
          <c:showLegendKey val="0"/>
          <c:showVal val="0"/>
          <c:showCatName val="0"/>
          <c:showSerName val="0"/>
          <c:showPercent val="0"/>
          <c:showBubbleSize val="0"/>
        </c:dLbls>
        <c:gapWidth val="100"/>
        <c:axId val="90778593"/>
        <c:axId val="90271679"/>
      </c:barChart>
      <c:catAx>
        <c:axId val="90778593"/>
        <c:scaling>
          <c:orientation val="minMax"/>
        </c:scaling>
        <c:delete val="0"/>
        <c:axPos val="l"/>
        <c:numFmt formatCode="General" sourceLinked="0"/>
        <c:majorTickMark val="none"/>
        <c:minorTickMark val="none"/>
        <c:tickLblPos val="nextTo"/>
        <c:spPr>
          <a:ln w="6480">
            <a:solidFill>
              <a:srgbClr val="8B8B8B"/>
            </a:solidFill>
            <a:round/>
          </a:ln>
        </c:spPr>
        <c:txPr>
          <a:bodyPr/>
          <a:lstStyle/>
          <a:p>
            <a:pPr>
              <a:defRPr sz="1200" b="0" u="none" strike="noStrike">
                <a:solidFill>
                  <a:srgbClr val="000000"/>
                </a:solidFill>
                <a:uFillTx/>
                <a:latin typeface="Aptos"/>
              </a:defRPr>
            </a:pPr>
            <a:endParaRPr lang="en-US"/>
          </a:p>
        </c:txPr>
        <c:crossAx val="90271679"/>
        <c:crosses val="autoZero"/>
        <c:auto val="1"/>
        <c:lblAlgn val="ctr"/>
        <c:lblOffset val="100"/>
        <c:noMultiLvlLbl val="0"/>
      </c:catAx>
      <c:valAx>
        <c:axId val="90271679"/>
        <c:scaling>
          <c:orientation val="minMax"/>
        </c:scaling>
        <c:delete val="0"/>
        <c:axPos val="b"/>
        <c:title>
          <c:tx>
            <c:rich>
              <a:bodyPr rot="0"/>
              <a:lstStyle/>
              <a:p>
                <a:pPr>
                  <a:defRPr sz="1300" b="0" u="none" strike="noStrike">
                    <a:uFillTx/>
                    <a:latin typeface="Arial"/>
                  </a:defRPr>
                </a:pPr>
                <a:r>
                  <a:rPr lang="en-AU" sz="1600" b="0" u="none" strike="noStrike">
                    <a:solidFill>
                      <a:srgbClr val="000000"/>
                    </a:solidFill>
                    <a:uFillTx/>
                    <a:latin typeface="Montserrat"/>
                  </a:rPr>
                  <a:t>SECTOR EXPOSURE</a:t>
                </a:r>
              </a:p>
            </c:rich>
          </c:tx>
          <c:layout>
            <c:manualLayout>
              <c:xMode val="edge"/>
              <c:yMode val="edge"/>
              <c:x val="0.30377700168154198"/>
              <c:y val="2.2059614763800701E-2"/>
            </c:manualLayout>
          </c:layout>
          <c:overlay val="0"/>
          <c:spPr>
            <a:solidFill>
              <a:srgbClr val="F2F2F2"/>
            </a:solidFill>
            <a:ln w="0">
              <a:noFill/>
            </a:ln>
          </c:spPr>
        </c:title>
        <c:numFmt formatCode="0%" sourceLinked="0"/>
        <c:majorTickMark val="out"/>
        <c:minorTickMark val="none"/>
        <c:tickLblPos val="nextTo"/>
        <c:spPr>
          <a:ln w="6480">
            <a:solidFill>
              <a:srgbClr val="8B8B8B"/>
            </a:solidFill>
            <a:round/>
          </a:ln>
        </c:spPr>
        <c:txPr>
          <a:bodyPr/>
          <a:lstStyle/>
          <a:p>
            <a:pPr>
              <a:defRPr sz="1200" b="0" u="none" strike="noStrike">
                <a:solidFill>
                  <a:srgbClr val="000000"/>
                </a:solidFill>
                <a:uFillTx/>
                <a:latin typeface="Aptos"/>
              </a:defRPr>
            </a:pPr>
            <a:endParaRPr lang="en-US"/>
          </a:p>
        </c:txPr>
        <c:crossAx val="90778593"/>
        <c:crosses val="autoZero"/>
        <c:crossBetween val="between"/>
      </c:valAx>
      <c:spPr>
        <a:solidFill>
          <a:srgbClr val="FFFFFF"/>
        </a:solidFill>
        <a:ln w="0">
          <a:noFill/>
        </a:ln>
      </c:spPr>
    </c:plotArea>
    <c:plotVisOnly val="1"/>
    <c:dispBlanksAs val="gap"/>
    <c:showDLblsOverMax val="1"/>
  </c:chart>
  <c:spPr>
    <a:noFill/>
    <a:ln w="648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AU" sz="1600" b="0" u="none" strike="noStrike">
                <a:solidFill>
                  <a:srgbClr val="000000"/>
                </a:solidFill>
                <a:uFillTx/>
                <a:latin typeface="Montserrat"/>
              </a:rPr>
              <a:t>MARKET CAP EXPOSURE</a:t>
            </a:r>
          </a:p>
        </c:rich>
      </c:tx>
      <c:layout>
        <c:manualLayout>
          <c:xMode val="edge"/>
          <c:yMode val="edge"/>
          <c:x val="0.213027387120651"/>
          <c:y val="1.87188019966722E-2"/>
        </c:manualLayout>
      </c:layout>
      <c:overlay val="0"/>
      <c:spPr>
        <a:solidFill>
          <a:srgbClr val="F2F2F2"/>
        </a:solidFill>
        <a:ln w="0">
          <a:noFill/>
        </a:ln>
      </c:spPr>
    </c:title>
    <c:autoTitleDeleted val="0"/>
    <c:plotArea>
      <c:layout>
        <c:manualLayout>
          <c:layoutTarget val="inner"/>
          <c:xMode val="edge"/>
          <c:yMode val="edge"/>
          <c:x val="7.1724648408586195E-2"/>
          <c:y val="0.23304908485856901"/>
          <c:w val="0.44004441154700202"/>
          <c:h val="0.69197171381031597"/>
        </c:manualLayout>
      </c:layout>
      <c:doughnutChart>
        <c:varyColors val="1"/>
        <c:ser>
          <c:idx val="0"/>
          <c:order val="0"/>
          <c:spPr>
            <a:solidFill>
              <a:srgbClr val="7F5F52"/>
            </a:solidFill>
            <a:ln w="0">
              <a:solidFill>
                <a:srgbClr val="000000"/>
              </a:solidFill>
            </a:ln>
          </c:spPr>
          <c:dPt>
            <c:idx val="0"/>
            <c:bubble3D val="0"/>
            <c:spPr>
              <a:solidFill>
                <a:srgbClr val="C7BFBC"/>
              </a:solidFill>
              <a:ln w="0">
                <a:solidFill>
                  <a:srgbClr val="000000"/>
                </a:solidFill>
              </a:ln>
            </c:spPr>
            <c:extLst>
              <c:ext xmlns:c16="http://schemas.microsoft.com/office/drawing/2014/chart" uri="{C3380CC4-5D6E-409C-BE32-E72D297353CC}">
                <c16:uniqueId val="{00000001-F7AD-4846-8744-32EC3B90CB35}"/>
              </c:ext>
            </c:extLst>
          </c:dPt>
          <c:dPt>
            <c:idx val="1"/>
            <c:bubble3D val="0"/>
            <c:spPr>
              <a:solidFill>
                <a:srgbClr val="A89994"/>
              </a:solidFill>
              <a:ln w="0">
                <a:solidFill>
                  <a:srgbClr val="000000"/>
                </a:solidFill>
              </a:ln>
            </c:spPr>
            <c:extLst>
              <c:ext xmlns:c16="http://schemas.microsoft.com/office/drawing/2014/chart" uri="{C3380CC4-5D6E-409C-BE32-E72D297353CC}">
                <c16:uniqueId val="{00000003-F7AD-4846-8744-32EC3B90CB35}"/>
              </c:ext>
            </c:extLst>
          </c:dPt>
          <c:dPt>
            <c:idx val="2"/>
            <c:bubble3D val="0"/>
            <c:spPr>
              <a:solidFill>
                <a:srgbClr val="7F5F52"/>
              </a:solidFill>
              <a:ln w="0">
                <a:solidFill>
                  <a:srgbClr val="000000"/>
                </a:solidFill>
              </a:ln>
            </c:spPr>
            <c:extLst>
              <c:ext xmlns:c16="http://schemas.microsoft.com/office/drawing/2014/chart" uri="{C3380CC4-5D6E-409C-BE32-E72D297353CC}">
                <c16:uniqueId val="{00000005-F7AD-4846-8744-32EC3B90CB35}"/>
              </c:ext>
            </c:extLst>
          </c:dPt>
          <c:dPt>
            <c:idx val="3"/>
            <c:bubble3D val="0"/>
            <c:spPr>
              <a:solidFill>
                <a:srgbClr val="705448"/>
              </a:solidFill>
              <a:ln w="0">
                <a:solidFill>
                  <a:srgbClr val="000000"/>
                </a:solidFill>
              </a:ln>
            </c:spPr>
            <c:extLst>
              <c:ext xmlns:c16="http://schemas.microsoft.com/office/drawing/2014/chart" uri="{C3380CC4-5D6E-409C-BE32-E72D297353CC}">
                <c16:uniqueId val="{00000007-F7AD-4846-8744-32EC3B90CB35}"/>
              </c:ext>
            </c:extLst>
          </c:dPt>
          <c:dPt>
            <c:idx val="4"/>
            <c:bubble3D val="0"/>
            <c:spPr>
              <a:solidFill>
                <a:srgbClr val="60483E"/>
              </a:solidFill>
              <a:ln w="0">
                <a:solidFill>
                  <a:srgbClr val="000000"/>
                </a:solidFill>
              </a:ln>
            </c:spPr>
            <c:extLst>
              <c:ext xmlns:c16="http://schemas.microsoft.com/office/drawing/2014/chart" uri="{C3380CC4-5D6E-409C-BE32-E72D297353CC}">
                <c16:uniqueId val="{00000009-F7AD-4846-8744-32EC3B90CB35}"/>
              </c:ext>
            </c:extLst>
          </c:dPt>
          <c:dLbls>
            <c:dLbl>
              <c:idx val="0"/>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6="http://schemas.microsoft.com/office/drawing/2014/chart" uri="{C3380CC4-5D6E-409C-BE32-E72D297353CC}">
                  <c16:uniqueId val="{00000001-F7AD-4846-8744-32EC3B90CB35}"/>
                </c:ext>
              </c:extLst>
            </c:dLbl>
            <c:dLbl>
              <c:idx val="1"/>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6="http://schemas.microsoft.com/office/drawing/2014/chart" uri="{C3380CC4-5D6E-409C-BE32-E72D297353CC}">
                  <c16:uniqueId val="{00000003-F7AD-4846-8744-32EC3B90CB35}"/>
                </c:ext>
              </c:extLst>
            </c:dLbl>
            <c:dLbl>
              <c:idx val="2"/>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6="http://schemas.microsoft.com/office/drawing/2014/chart" uri="{C3380CC4-5D6E-409C-BE32-E72D297353CC}">
                  <c16:uniqueId val="{00000005-F7AD-4846-8744-32EC3B90CB35}"/>
                </c:ext>
              </c:extLst>
            </c:dLbl>
            <c:dLbl>
              <c:idx val="3"/>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6="http://schemas.microsoft.com/office/drawing/2014/chart" uri="{C3380CC4-5D6E-409C-BE32-E72D297353CC}">
                  <c16:uniqueId val="{00000007-F7AD-4846-8744-32EC3B90CB35}"/>
                </c:ext>
              </c:extLst>
            </c:dLbl>
            <c:dLbl>
              <c:idx val="4"/>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6="http://schemas.microsoft.com/office/drawing/2014/chart" uri="{C3380CC4-5D6E-409C-BE32-E72D297353CC}">
                  <c16:uniqueId val="{00000009-F7AD-4846-8744-32EC3B90CB35}"/>
                </c:ext>
              </c:extLst>
            </c:dLbl>
            <c:spPr>
              <a:noFill/>
              <a:ln>
                <a:noFill/>
              </a:ln>
              <a:effectLst/>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Performancedata!$CA$27:$CA$31</c:f>
              <c:strCache>
                <c:ptCount val="5"/>
                <c:pt idx="0">
                  <c:v>&gt;$10b (84%)</c:v>
                </c:pt>
                <c:pt idx="1">
                  <c:v>$1b-$10b (11%)</c:v>
                </c:pt>
                <c:pt idx="2">
                  <c:v>$500m-$1b (0%)</c:v>
                </c:pt>
                <c:pt idx="3">
                  <c:v>$300m-$500m (0%)</c:v>
                </c:pt>
                <c:pt idx="4">
                  <c:v>&lt;$300m (5%)</c:v>
                </c:pt>
              </c:strCache>
            </c:strRef>
          </c:cat>
          <c:val>
            <c:numRef>
              <c:f>Performancedata!$CB$27:$CB$31</c:f>
              <c:numCache>
                <c:formatCode>0%</c:formatCode>
                <c:ptCount val="5"/>
                <c:pt idx="0">
                  <c:v>0.84</c:v>
                </c:pt>
                <c:pt idx="1">
                  <c:v>0.11</c:v>
                </c:pt>
                <c:pt idx="2">
                  <c:v>0</c:v>
                </c:pt>
                <c:pt idx="3">
                  <c:v>0</c:v>
                </c:pt>
                <c:pt idx="4">
                  <c:v>0.05</c:v>
                </c:pt>
              </c:numCache>
            </c:numRef>
          </c:val>
          <c:extLst>
            <c:ext xmlns:c16="http://schemas.microsoft.com/office/drawing/2014/chart" uri="{C3380CC4-5D6E-409C-BE32-E72D297353CC}">
              <c16:uniqueId val="{0000000A-F7AD-4846-8744-32EC3B90CB35}"/>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r"/>
      <c:layout>
        <c:manualLayout>
          <c:xMode val="edge"/>
          <c:yMode val="edge"/>
          <c:x val="0.52950607124002402"/>
          <c:y val="0.229830621519931"/>
          <c:w val="0.44792912099003102"/>
          <c:h val="0.63572046426744"/>
        </c:manualLayout>
      </c:layout>
      <c:overlay val="0"/>
      <c:spPr>
        <a:noFill/>
        <a:ln w="0">
          <a:noFill/>
        </a:ln>
      </c:spPr>
      <c:txPr>
        <a:bodyPr/>
        <a:lstStyle/>
        <a:p>
          <a:pPr>
            <a:defRPr lang="en-AU" sz="1400" b="0" u="none" strike="noStrike">
              <a:solidFill>
                <a:srgbClr val="000000"/>
              </a:solidFill>
              <a:uFillTx/>
              <a:latin typeface="HelveticaNeue LT 33 ThinEx"/>
            </a:defRPr>
          </a:pPr>
          <a:endParaRPr lang="en-US"/>
        </a:p>
      </c:txPr>
    </c:legend>
    <c:plotVisOnly val="1"/>
    <c:dispBlanksAs val="gap"/>
    <c:showDLblsOverMax val="1"/>
  </c:chart>
  <c:spPr>
    <a:noFill/>
    <a:ln w="648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image" Target="../media/image6.png"/><Relationship Id="rId12" Type="http://schemas.openxmlformats.org/officeDocument/2006/relationships/image" Target="../media/image11.wmf"/><Relationship Id="rId2" Type="http://schemas.openxmlformats.org/officeDocument/2006/relationships/image" Target="../media/image3.png"/><Relationship Id="rId1" Type="http://schemas.openxmlformats.org/officeDocument/2006/relationships/chart" Target="../charts/chart1.xml"/><Relationship Id="rId6" Type="http://schemas.openxmlformats.org/officeDocument/2006/relationships/chart" Target="../charts/chart3.xml"/><Relationship Id="rId11" Type="http://schemas.openxmlformats.org/officeDocument/2006/relationships/image" Target="../media/image10.wmf"/><Relationship Id="rId5" Type="http://schemas.openxmlformats.org/officeDocument/2006/relationships/chart" Target="../charts/chart2.xml"/><Relationship Id="rId10" Type="http://schemas.openxmlformats.org/officeDocument/2006/relationships/image" Target="../media/image9.png"/><Relationship Id="rId4" Type="http://schemas.openxmlformats.org/officeDocument/2006/relationships/image" Target="../media/image5.png"/><Relationship Id="rId9"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19</xdr:col>
      <xdr:colOff>200160</xdr:colOff>
      <xdr:row>9</xdr:row>
      <xdr:rowOff>152280</xdr:rowOff>
    </xdr:from>
    <xdr:to>
      <xdr:col>41</xdr:col>
      <xdr:colOff>37080</xdr:colOff>
      <xdr:row>23</xdr:row>
      <xdr:rowOff>65880</xdr:rowOff>
    </xdr:to>
    <xdr:pic>
      <xdr:nvPicPr>
        <xdr:cNvPr id="2" name="Picture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9690120" y="1780920"/>
          <a:ext cx="5369040" cy="2447280"/>
        </a:xfrm>
        <a:prstGeom prst="rect">
          <a:avLst/>
        </a:prstGeom>
        <a:noFill/>
        <a:ln w="0">
          <a:noFill/>
        </a:ln>
      </xdr:spPr>
    </xdr:pic>
    <xdr:clientData/>
  </xdr:twoCellAnchor>
  <xdr:twoCellAnchor editAs="oneCell">
    <xdr:from>
      <xdr:col>1</xdr:col>
      <xdr:colOff>228600</xdr:colOff>
      <xdr:row>11</xdr:row>
      <xdr:rowOff>95400</xdr:rowOff>
    </xdr:from>
    <xdr:to>
      <xdr:col>19</xdr:col>
      <xdr:colOff>17640</xdr:colOff>
      <xdr:row>23</xdr:row>
      <xdr:rowOff>94680</xdr:rowOff>
    </xdr:to>
    <xdr:pic>
      <xdr:nvPicPr>
        <xdr:cNvPr id="3" name="Picture 2">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xdr:blipFill>
      <xdr:spPr>
        <a:xfrm>
          <a:off x="480240" y="2086200"/>
          <a:ext cx="9027360" cy="21708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54000</xdr:colOff>
      <xdr:row>17</xdr:row>
      <xdr:rowOff>423720</xdr:rowOff>
    </xdr:from>
    <xdr:to>
      <xdr:col>14</xdr:col>
      <xdr:colOff>421919</xdr:colOff>
      <xdr:row>38</xdr:row>
      <xdr:rowOff>95040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36</xdr:col>
      <xdr:colOff>536760</xdr:colOff>
      <xdr:row>60</xdr:row>
      <xdr:rowOff>134640</xdr:rowOff>
    </xdr:from>
    <xdr:to>
      <xdr:col>50</xdr:col>
      <xdr:colOff>7200</xdr:colOff>
      <xdr:row>110</xdr:row>
      <xdr:rowOff>194400</xdr:rowOff>
    </xdr:to>
    <xdr:sp macro="" textlink="">
      <xdr:nvSpPr>
        <xdr:cNvPr id="3" name="TextBox 4">
          <a:extLst>
            <a:ext uri="{FF2B5EF4-FFF2-40B4-BE49-F238E27FC236}">
              <a16:creationId xmlns:a16="http://schemas.microsoft.com/office/drawing/2014/main" id="{00000000-0008-0000-0100-000003000000}"/>
            </a:ext>
          </a:extLst>
        </xdr:cNvPr>
        <xdr:cNvSpPr/>
      </xdr:nvSpPr>
      <xdr:spPr>
        <a:xfrm>
          <a:off x="24699960" y="13395240"/>
          <a:ext cx="7924680" cy="923688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defTabSz="457200">
            <a:lnSpc>
              <a:spcPct val="150000"/>
            </a:lnSpc>
          </a:pPr>
          <a:r>
            <a:rPr lang="en-AU" sz="1500" b="1" u="none" strike="noStrike">
              <a:solidFill>
                <a:srgbClr val="000000"/>
              </a:solidFill>
              <a:effectLst/>
              <a:uFillTx/>
              <a:latin typeface="Aptos"/>
            </a:rPr>
            <a:t>Companies </a:t>
          </a:r>
          <a:endParaRPr lang="en-IN" sz="1500" b="0" u="none" strike="noStrike">
            <a:effectLst/>
            <a:uFillTx/>
            <a:latin typeface="Times New Roman"/>
          </a:endParaRPr>
        </a:p>
        <a:p>
          <a:pPr defTabSz="457200">
            <a:lnSpc>
              <a:spcPct val="100000"/>
            </a:lnSpc>
          </a:pPr>
          <a:r>
            <a:rPr lang="en-AU" sz="1050" b="1" u="none" strike="noStrike">
              <a:solidFill>
                <a:schemeClr val="dk1"/>
              </a:solidFill>
              <a:effectLst/>
              <a:uFillTx/>
              <a:latin typeface="Calibri"/>
            </a:rPr>
            <a:t>Alphabet (Google, GOOGL)</a:t>
          </a:r>
          <a:endParaRPr lang="en-IN" sz="1050" b="0" u="none" strike="noStrike">
            <a:effectLst/>
            <a:uFillTx/>
            <a:latin typeface="Times New Roman"/>
          </a:endParaRPr>
        </a:p>
        <a:p>
          <a:pPr defTabSz="457200">
            <a:lnSpc>
              <a:spcPct val="100000"/>
            </a:lnSpc>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~US$2.5 trn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US$2.1 trn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~14%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~20×</a:t>
          </a:r>
          <a:endParaRPr lang="en-IN" sz="1050" b="0" u="none" strike="noStrike">
            <a:effectLst/>
            <a:uFillTx/>
            <a:latin typeface="Times New Roman"/>
          </a:endParaRPr>
        </a:p>
        <a:p>
          <a:pPr defTabSz="457200">
            <a:lnSpc>
              <a:spcPct val="100000"/>
            </a:lnSpc>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Alphabet is a global tech leader and the clear frontrunner in AI innovation. Google has integrated advanced generative AI into Search, Gemini, YouTube, Maps, and Cloud, while also pushing the frontier with projects in autonomous driving and algorithmic discovery.</a:t>
          </a:r>
          <a:endParaRPr lang="en-IN" sz="1050" b="0" u="none" strike="noStrike">
            <a:effectLst/>
            <a:uFillTx/>
            <a:latin typeface="Times New Roman"/>
          </a:endParaRPr>
        </a:p>
        <a:p>
          <a:pPr defTabSz="457200">
            <a:lnSpc>
              <a:spcPct val="100000"/>
            </a:lnSpc>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AI is now the growth engine alongside its core advertising business. Cloud deals and AI-driven engagement are accelerating revenue. Its forward multiple is well below other megacaps, leaving room for re-rating. Risks include regulatory pressure and AI competition, but the investment case rests on its scale and leadership in the next computing wave.</a:t>
          </a:r>
          <a:endParaRPr lang="en-IN" sz="1050" b="0" u="none" strike="noStrike">
            <a:effectLst/>
            <a:uFillTx/>
            <a:latin typeface="Times New Roman"/>
          </a:endParaRPr>
        </a:p>
        <a:p>
          <a:pPr defTabSz="457200">
            <a:lnSpc>
              <a:spcPct val="100000"/>
            </a:lnSpc>
          </a:pPr>
          <a:endParaRPr lang="en-IN" sz="1050" b="0" u="none" strike="noStrike">
            <a:effectLst/>
            <a:uFillTx/>
            <a:latin typeface="Times New Roman"/>
          </a:endParaRPr>
        </a:p>
        <a:p>
          <a:pPr defTabSz="914400">
            <a:lnSpc>
              <a:spcPct val="100000"/>
            </a:lnSpc>
            <a:tabLst>
              <a:tab pos="0" algn="l"/>
            </a:tabLst>
          </a:pPr>
          <a:r>
            <a:rPr lang="en-AU" sz="1050" b="1" u="none" strike="noStrike">
              <a:solidFill>
                <a:srgbClr val="000000"/>
              </a:solidFill>
              <a:effectLst/>
              <a:uFillTx/>
              <a:latin typeface="Calibri"/>
            </a:rPr>
            <a:t>AMD (Advanced Micro Devices, AMD)</a:t>
          </a:r>
          <a:endParaRPr lang="en-IN" sz="1050" b="0" u="none" strike="noStrike">
            <a:effectLst/>
            <a:uFillTx/>
            <a:latin typeface="Times New Roman"/>
          </a:endParaRPr>
        </a:p>
        <a:p>
          <a:pPr defTabSz="914400">
            <a:lnSpc>
              <a:spcPct val="100000"/>
            </a:lnSpc>
            <a:tabLst>
              <a:tab pos="0" algn="l"/>
            </a:tabLst>
          </a:pPr>
          <a:r>
            <a:rPr lang="en-AU" sz="1050" b="1" u="none" strike="noStrike">
              <a:solidFill>
                <a:srgbClr val="000000"/>
              </a:solidFill>
              <a:effectLst/>
              <a:uFillTx/>
              <a:latin typeface="Calibri"/>
            </a:rPr>
            <a:t>Market Cap</a:t>
          </a:r>
          <a:r>
            <a:rPr lang="en-AU" sz="1050" b="0" u="none" strike="noStrike">
              <a:solidFill>
                <a:srgbClr val="000000"/>
              </a:solidFill>
              <a:effectLst/>
              <a:uFillTx/>
              <a:latin typeface="Calibri"/>
            </a:rPr>
            <a:t>: ~US$260 b | </a:t>
          </a:r>
          <a:r>
            <a:rPr lang="en-AU" sz="1050" b="1" u="none" strike="noStrike">
              <a:solidFill>
                <a:srgbClr val="000000"/>
              </a:solidFill>
              <a:effectLst/>
              <a:uFillTx/>
              <a:latin typeface="Calibri"/>
            </a:rPr>
            <a:t>EV</a:t>
          </a:r>
          <a:r>
            <a:rPr lang="en-AU" sz="1050" b="0" u="none" strike="noStrike">
              <a:solidFill>
                <a:srgbClr val="000000"/>
              </a:solidFill>
              <a:effectLst/>
              <a:uFillTx/>
              <a:latin typeface="Calibri"/>
            </a:rPr>
            <a:t>: ~US$255 b | </a:t>
          </a:r>
          <a:r>
            <a:rPr lang="en-AU" sz="1050" b="1" u="none" strike="noStrike">
              <a:solidFill>
                <a:srgbClr val="000000"/>
              </a:solidFill>
              <a:effectLst/>
              <a:uFillTx/>
              <a:latin typeface="Calibri"/>
            </a:rPr>
            <a:t>Forward EPS Growth</a:t>
          </a:r>
          <a:r>
            <a:rPr lang="en-AU" sz="1050" b="0" u="none" strike="noStrike">
              <a:solidFill>
                <a:srgbClr val="000000"/>
              </a:solidFill>
              <a:effectLst/>
              <a:uFillTx/>
              <a:latin typeface="Calibri"/>
            </a:rPr>
            <a:t>: ~20% | </a:t>
          </a:r>
          <a:r>
            <a:rPr lang="en-AU" sz="1050" b="1" u="none" strike="noStrike">
              <a:solidFill>
                <a:srgbClr val="000000"/>
              </a:solidFill>
              <a:effectLst/>
              <a:uFillTx/>
              <a:latin typeface="Calibri"/>
            </a:rPr>
            <a:t>Forward P/E</a:t>
          </a:r>
          <a:r>
            <a:rPr lang="en-AU" sz="1050" b="0" u="none" strike="noStrike">
              <a:solidFill>
                <a:srgbClr val="000000"/>
              </a:solidFill>
              <a:effectLst/>
              <a:uFillTx/>
              <a:latin typeface="Calibri"/>
            </a:rPr>
            <a:t>: ~38×</a:t>
          </a:r>
          <a:endParaRPr lang="en-IN" sz="1050" b="0" u="none" strike="noStrike">
            <a:effectLst/>
            <a:uFillTx/>
            <a:latin typeface="Times New Roman"/>
          </a:endParaRPr>
        </a:p>
        <a:p>
          <a:pPr defTabSz="914400">
            <a:lnSpc>
              <a:spcPct val="100000"/>
            </a:lnSpc>
            <a:tabLst>
              <a:tab pos="0" algn="l"/>
            </a:tabLst>
          </a:pPr>
          <a:r>
            <a:rPr lang="en-AU" sz="1050" b="1" u="none" strike="noStrike">
              <a:solidFill>
                <a:srgbClr val="000000"/>
              </a:solidFill>
              <a:effectLst/>
              <a:uFillTx/>
              <a:latin typeface="Calibri"/>
            </a:rPr>
            <a:t>What it does</a:t>
          </a:r>
          <a:br/>
          <a:r>
            <a:rPr lang="en-AU" sz="1050" b="0" u="none" strike="noStrike">
              <a:solidFill>
                <a:srgbClr val="000000"/>
              </a:solidFill>
              <a:effectLst/>
              <a:uFillTx/>
              <a:latin typeface="Calibri"/>
            </a:rPr>
            <a:t>Designs CPUs, GPUs, and data centre chips, competing with Intel in processors and Nvidia in AI accelerators.</a:t>
          </a:r>
          <a:endParaRPr lang="en-IN" sz="1050" b="0" u="none" strike="noStrike">
            <a:effectLst/>
            <a:uFillTx/>
            <a:latin typeface="Times New Roman"/>
          </a:endParaRPr>
        </a:p>
        <a:p>
          <a:pPr defTabSz="914400">
            <a:lnSpc>
              <a:spcPct val="100000"/>
            </a:lnSpc>
            <a:tabLst>
              <a:tab pos="0" algn="l"/>
            </a:tabLst>
          </a:pPr>
          <a:r>
            <a:rPr lang="en-AU" sz="1050" b="1" u="none" strike="noStrike">
              <a:solidFill>
                <a:srgbClr val="000000"/>
              </a:solidFill>
              <a:effectLst/>
              <a:uFillTx/>
              <a:latin typeface="Calibri"/>
            </a:rPr>
            <a:t>Investment case</a:t>
          </a:r>
          <a:br/>
          <a:r>
            <a:rPr lang="en-AU" sz="1050" b="0" u="none" strike="noStrike">
              <a:solidFill>
                <a:srgbClr val="000000"/>
              </a:solidFill>
              <a:effectLst/>
              <a:uFillTx/>
              <a:latin typeface="Calibri"/>
            </a:rPr>
            <a:t>Key beneficiary of AI and cloud adoption, with market share gains across data centre and PCs. Premium valuation reflects strong positioning, but risks include cyclicality and Nvidia’s entrenched GPU dominance.</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Reddit (RDDT)</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~US$46 b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~US$44 b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~34%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&gt;100×</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Reddit is a community-based social platform monetising through ads, premium subscriptions, and data licensing.</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The most recent quarter was its most impressive to date: revenue up 78%, ad revenue up 84%, and a swing to profitability with strong free cash flow. User engagement is growing and its push into AI-powered search opens a new monetisation path. Valuation remains demanding, but earnings momentum and scale are shifting in its favour.</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Uber (UBER)</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~US$190 b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~US$185 b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~30%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~35×</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Uber runs global ride-hailing, delivery, and logistics networks.</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It is often priced as if autonomous vehicles will disrupt its model, but more likely Uber becomes the platform for those vehicles to operate on. That keeps it central to the ecosystem, with upside from scale, data, and integration of self-driving tech. Risks are regulatory changes and competitive intensity.</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Ramelius Resources (ASX: RMS)</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~A$2.5 b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~A$2.3 b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~15%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~11×</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Ramelius is a mid-tier Australian gold miner with operations in Western Australia.</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High gold price leverage and solid balance sheet. Low forward P/E vs peers makes it a value play. Risks include cost inflation and resource depletion.</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Tempus AI (TEM)</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~US$6 b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~US$5.5 b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N/A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N/A</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Tempus develops AI-driven diagnostics and precision medicine tools using large datasets in oncology and other medical fields.</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Large TAM in healthcare AI, strong growth trajectory, and partnerships with major pharma. Risks: unproven profitability and heavy competition in healthtech.</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0" u="none" strike="noStrike">
              <a:solidFill>
                <a:schemeClr val="dk1"/>
              </a:solidFill>
              <a:effectLst/>
              <a:uFillTx/>
              <a:latin typeface="Calibri"/>
            </a:rPr>
            <a:t>Thank you for your support. Call any time if you would like more detail.</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r>
            <a:rPr lang="en-AU" sz="1800" b="0" u="none" strike="noStrike">
              <a:solidFill>
                <a:schemeClr val="dk1"/>
              </a:solidFill>
              <a:effectLst/>
              <a:uFillTx/>
              <a:latin typeface="Calibri"/>
            </a:rPr>
            <a:t> </a:t>
          </a:r>
          <a:r>
            <a:rPr lang="en-AU" sz="1050" b="0" u="none" strike="noStrike">
              <a:solidFill>
                <a:schemeClr val="dk1"/>
              </a:solidFill>
              <a:effectLst/>
              <a:uFillTx/>
              <a:latin typeface="Calibri"/>
            </a:rPr>
            <a:t> </a:t>
          </a: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r>
            <a:rPr lang="en-AU" sz="1800" b="0" u="none" strike="noStrike">
              <a:solidFill>
                <a:schemeClr val="dk1"/>
              </a:solidFill>
              <a:effectLst/>
              <a:uFillTx/>
              <a:latin typeface="Calibri"/>
            </a:rPr>
            <a:t> </a:t>
          </a:r>
          <a:r>
            <a:rPr lang="en-AU" sz="1050" b="0" u="none" strike="noStrike">
              <a:solidFill>
                <a:schemeClr val="dk1"/>
              </a:solidFill>
              <a:effectLst/>
              <a:uFillTx/>
              <a:latin typeface="Calibri"/>
            </a:rPr>
            <a:t> </a:t>
          </a: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algn="ctr" defTabSz="457200">
            <a:lnSpc>
              <a:spcPct val="150000"/>
            </a:lnSpc>
            <a:tabLst>
              <a:tab pos="0" algn="l"/>
            </a:tabLst>
          </a:pPr>
          <a:endParaRPr lang="en-IN" sz="1050" b="0" u="none" strike="noStrike">
            <a:effectLst/>
            <a:uFillTx/>
            <a:latin typeface="Times New Roman"/>
          </a:endParaRPr>
        </a:p>
        <a:p>
          <a:pPr algn="ctr" defTabSz="457200">
            <a:lnSpc>
              <a:spcPct val="100000"/>
            </a:lnSpc>
            <a:tabLst>
              <a:tab pos="0" algn="l"/>
            </a:tabLst>
          </a:pPr>
          <a:endParaRPr lang="en-IN" sz="1600" b="0" u="none" strike="noStrike">
            <a:effectLst/>
            <a:uFillTx/>
            <a:latin typeface="Times New Roman"/>
          </a:endParaRPr>
        </a:p>
      </xdr:txBody>
    </xdr:sp>
    <xdr:clientData/>
  </xdr:twoCellAnchor>
  <xdr:twoCellAnchor editAs="oneCell">
    <xdr:from>
      <xdr:col>16</xdr:col>
      <xdr:colOff>531000</xdr:colOff>
      <xdr:row>34</xdr:row>
      <xdr:rowOff>150840</xdr:rowOff>
    </xdr:from>
    <xdr:to>
      <xdr:col>25</xdr:col>
      <xdr:colOff>268920</xdr:colOff>
      <xdr:row>41</xdr:row>
      <xdr:rowOff>81000</xdr:rowOff>
    </xdr:to>
    <xdr:pic>
      <xdr:nvPicPr>
        <xdr:cNvPr id="4" name="Picture 5">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2"/>
        <a:stretch/>
      </xdr:blipFill>
      <xdr:spPr>
        <a:xfrm>
          <a:off x="12564720" y="7199280"/>
          <a:ext cx="5103360" cy="1157040"/>
        </a:xfrm>
        <a:prstGeom prst="rect">
          <a:avLst/>
        </a:prstGeom>
        <a:noFill/>
        <a:ln w="0">
          <a:noFill/>
        </a:ln>
      </xdr:spPr>
    </xdr:pic>
    <xdr:clientData/>
  </xdr:twoCellAnchor>
  <xdr:twoCellAnchor editAs="oneCell">
    <xdr:from>
      <xdr:col>27</xdr:col>
      <xdr:colOff>155880</xdr:colOff>
      <xdr:row>33</xdr:row>
      <xdr:rowOff>74520</xdr:rowOff>
    </xdr:from>
    <xdr:to>
      <xdr:col>30</xdr:col>
      <xdr:colOff>294480</xdr:colOff>
      <xdr:row>41</xdr:row>
      <xdr:rowOff>68400</xdr:rowOff>
    </xdr:to>
    <xdr:pic>
      <xdr:nvPicPr>
        <xdr:cNvPr id="5" name="Picture 9">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3"/>
        <a:stretch/>
      </xdr:blipFill>
      <xdr:spPr>
        <a:xfrm>
          <a:off x="18692280" y="6947640"/>
          <a:ext cx="2121480" cy="1396080"/>
        </a:xfrm>
        <a:prstGeom prst="rect">
          <a:avLst/>
        </a:prstGeom>
        <a:noFill/>
        <a:ln w="0">
          <a:noFill/>
        </a:ln>
      </xdr:spPr>
    </xdr:pic>
    <xdr:clientData/>
  </xdr:twoCellAnchor>
  <xdr:twoCellAnchor editAs="oneCell">
    <xdr:from>
      <xdr:col>3</xdr:col>
      <xdr:colOff>129960</xdr:colOff>
      <xdr:row>131</xdr:row>
      <xdr:rowOff>166680</xdr:rowOff>
    </xdr:from>
    <xdr:to>
      <xdr:col>5</xdr:col>
      <xdr:colOff>763201</xdr:colOff>
      <xdr:row>138</xdr:row>
      <xdr:rowOff>156240</xdr:rowOff>
    </xdr:to>
    <xdr:pic>
      <xdr:nvPicPr>
        <xdr:cNvPr id="6" name="Picture 11">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4"/>
        <a:stretch/>
      </xdr:blipFill>
      <xdr:spPr>
        <a:xfrm>
          <a:off x="1166400" y="27597240"/>
          <a:ext cx="2365560" cy="1483200"/>
        </a:xfrm>
        <a:prstGeom prst="rect">
          <a:avLst/>
        </a:prstGeom>
        <a:noFill/>
        <a:ln w="0">
          <a:noFill/>
        </a:ln>
      </xdr:spPr>
    </xdr:pic>
    <xdr:clientData/>
  </xdr:twoCellAnchor>
  <xdr:twoCellAnchor editAs="oneCell">
    <xdr:from>
      <xdr:col>2</xdr:col>
      <xdr:colOff>90000</xdr:colOff>
      <xdr:row>57</xdr:row>
      <xdr:rowOff>186480</xdr:rowOff>
    </xdr:from>
    <xdr:to>
      <xdr:col>9</xdr:col>
      <xdr:colOff>348840</xdr:colOff>
      <xdr:row>72</xdr:row>
      <xdr:rowOff>88560</xdr:rowOff>
    </xdr:to>
    <xdr:graphicFrame macro="">
      <xdr:nvGraphicFramePr>
        <xdr:cNvPr id="7" name="Chart 2">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603360</xdr:colOff>
      <xdr:row>57</xdr:row>
      <xdr:rowOff>197280</xdr:rowOff>
    </xdr:from>
    <xdr:to>
      <xdr:col>15</xdr:col>
      <xdr:colOff>269640</xdr:colOff>
      <xdr:row>73</xdr:row>
      <xdr:rowOff>40680</xdr:rowOff>
    </xdr:to>
    <xdr:graphicFrame macro="">
      <xdr:nvGraphicFramePr>
        <xdr:cNvPr id="8" name="Chart 8">
          <a:extLst>
            <a:ext uri="{FF2B5EF4-FFF2-40B4-BE49-F238E27FC236}">
              <a16:creationId xmlns:a16="http://schemas.microsoft.com/office/drawing/2014/main" id="{00000000-0008-0000-0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438840</xdr:colOff>
      <xdr:row>118</xdr:row>
      <xdr:rowOff>60120</xdr:rowOff>
    </xdr:from>
    <xdr:to>
      <xdr:col>15</xdr:col>
      <xdr:colOff>603360</xdr:colOff>
      <xdr:row>141</xdr:row>
      <xdr:rowOff>78840</xdr:rowOff>
    </xdr:to>
    <xdr:sp macro="" textlink="">
      <xdr:nvSpPr>
        <xdr:cNvPr id="9" name="TextBox 30">
          <a:extLst>
            <a:ext uri="{FF2B5EF4-FFF2-40B4-BE49-F238E27FC236}">
              <a16:creationId xmlns:a16="http://schemas.microsoft.com/office/drawing/2014/main" id="{00000000-0008-0000-0100-000009000000}"/>
            </a:ext>
          </a:extLst>
        </xdr:cNvPr>
        <xdr:cNvSpPr/>
      </xdr:nvSpPr>
      <xdr:spPr>
        <a:xfrm>
          <a:off x="11002680" y="24698160"/>
          <a:ext cx="1030680" cy="481932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algn="ctr">
            <a:lnSpc>
              <a:spcPct val="100000"/>
            </a:lnSpc>
          </a:pPr>
          <a:r>
            <a:rPr lang="en-AU" sz="2200" b="1" u="none" strike="noStrike">
              <a:solidFill>
                <a:schemeClr val="lt1"/>
              </a:solidFill>
              <a:effectLst/>
              <a:uFillTx/>
              <a:latin typeface="Montserrat"/>
            </a:rPr>
            <a:t>THE LASER BEAM FUND</a:t>
          </a:r>
          <a:endParaRPr lang="en-IN" sz="2200" b="0" u="none" strike="noStrike">
            <a:effectLst/>
            <a:uFillTx/>
            <a:latin typeface="Times New Roman"/>
          </a:endParaRPr>
        </a:p>
        <a:p>
          <a:pPr>
            <a:lnSpc>
              <a:spcPct val="100000"/>
            </a:lnSpc>
            <a:tabLst>
              <a:tab pos="0" algn="l"/>
            </a:tabLst>
          </a:pPr>
          <a:endParaRPr lang="en-IN" sz="1100" b="0" u="none" strike="noStrike">
            <a:effectLst/>
            <a:uFillTx/>
            <a:latin typeface="Times New Roman"/>
          </a:endParaRPr>
        </a:p>
        <a:p>
          <a:pPr>
            <a:lnSpc>
              <a:spcPct val="100000"/>
            </a:lnSpc>
            <a:tabLst>
              <a:tab pos="0" algn="l"/>
            </a:tabLst>
          </a:pPr>
          <a:r>
            <a:rPr lang="en-AU" sz="1500" b="1" u="none" strike="noStrike">
              <a:solidFill>
                <a:schemeClr val="lt1"/>
              </a:solidFill>
              <a:effectLst/>
              <a:uFillTx/>
              <a:latin typeface="Montserrat"/>
            </a:rPr>
            <a:t>Monthly Report - August 2025</a:t>
          </a:r>
          <a:endParaRPr lang="en-IN" sz="1500" b="0" u="none" strike="noStrike">
            <a:effectLst/>
            <a:uFillTx/>
            <a:latin typeface="Times New Roman"/>
          </a:endParaRPr>
        </a:p>
        <a:p>
          <a:pPr>
            <a:lnSpc>
              <a:spcPct val="100000"/>
            </a:lnSpc>
            <a:tabLst>
              <a:tab pos="0" algn="l"/>
            </a:tabLst>
          </a:pPr>
          <a:endParaRPr lang="en-IN" sz="1500" b="0" u="none" strike="noStrike">
            <a:effectLst/>
            <a:uFillTx/>
            <a:latin typeface="Times New Roman"/>
          </a:endParaRPr>
        </a:p>
        <a:p>
          <a:pPr>
            <a:lnSpc>
              <a:spcPct val="100000"/>
            </a:lnSpc>
            <a:tabLst>
              <a:tab pos="0" algn="l"/>
            </a:tabLst>
          </a:pPr>
          <a:r>
            <a:rPr lang="en-AU" sz="1100" b="0" u="none" strike="noStrike">
              <a:solidFill>
                <a:schemeClr val="lt1"/>
              </a:solidFill>
              <a:effectLst/>
              <a:uFillTx/>
              <a:latin typeface="Montserrat"/>
            </a:rPr>
            <a:t>Wholesale Investors | Post Fee Returns | Global L/S</a:t>
          </a:r>
          <a:endParaRPr lang="en-IN" sz="1100" b="0" u="none" strike="noStrike">
            <a:effectLst/>
            <a:uFillTx/>
            <a:latin typeface="Times New Roman"/>
          </a:endParaRPr>
        </a:p>
      </xdr:txBody>
    </xdr:sp>
    <xdr:clientData/>
  </xdr:twoCellAnchor>
  <xdr:twoCellAnchor>
    <xdr:from>
      <xdr:col>17</xdr:col>
      <xdr:colOff>578520</xdr:colOff>
      <xdr:row>8</xdr:row>
      <xdr:rowOff>262800</xdr:rowOff>
    </xdr:from>
    <xdr:to>
      <xdr:col>37</xdr:col>
      <xdr:colOff>83520</xdr:colOff>
      <xdr:row>29</xdr:row>
      <xdr:rowOff>167400</xdr:rowOff>
    </xdr:to>
    <xdr:grpSp>
      <xdr:nvGrpSpPr>
        <xdr:cNvPr id="10" name="Group 46">
          <a:extLst>
            <a:ext uri="{FF2B5EF4-FFF2-40B4-BE49-F238E27FC236}">
              <a16:creationId xmlns:a16="http://schemas.microsoft.com/office/drawing/2014/main" id="{00000000-0008-0000-0100-00000A000000}"/>
            </a:ext>
          </a:extLst>
        </xdr:cNvPr>
        <xdr:cNvGrpSpPr/>
      </xdr:nvGrpSpPr>
      <xdr:grpSpPr>
        <a:xfrm>
          <a:off x="13428611" y="1879164"/>
          <a:ext cx="11385273" cy="4465054"/>
          <a:chOff x="13387680" y="1872360"/>
          <a:chExt cx="11462760" cy="4467240"/>
        </a:xfrm>
      </xdr:grpSpPr>
      <xdr:sp macro="" textlink="">
        <xdr:nvSpPr>
          <xdr:cNvPr id="11" name="Picture 43">
            <a:extLst>
              <a:ext uri="{FF2B5EF4-FFF2-40B4-BE49-F238E27FC236}">
                <a16:creationId xmlns:a16="http://schemas.microsoft.com/office/drawing/2014/main" id="{00000000-0008-0000-0100-00000B000000}"/>
              </a:ext>
            </a:extLst>
          </xdr:cNvPr>
          <xdr:cNvSpPr/>
        </xdr:nvSpPr>
        <xdr:spPr>
          <a:xfrm>
            <a:off x="13387680" y="1872360"/>
            <a:ext cx="11462760" cy="3193920"/>
          </a:xfrm>
          <a:prstGeom prst="roundRect">
            <a:avLst>
              <a:gd name="adj" fmla="val 8594"/>
            </a:avLst>
          </a:prstGeom>
          <a:blipFill rotWithShape="0">
            <a:blip xmlns:r="http://schemas.openxmlformats.org/officeDocument/2006/relationships" r:embed="rId7"/>
            <a:srcRect/>
            <a:stretch/>
          </a:blipFill>
          <a:ln w="0">
            <a:noFill/>
          </a:ln>
          <a:effectLst>
            <a:reflection blurRad="12700" stA="38000" endPos="28000" dist="5000" dir="5400000" sy="-100000" algn="bl" rotWithShape="0"/>
          </a:effectLst>
        </xdr:spPr>
        <xdr:style>
          <a:lnRef idx="0">
            <a:scrgbClr r="0" g="0" b="0"/>
          </a:lnRef>
          <a:fillRef idx="0">
            <a:scrgbClr r="0" g="0" b="0"/>
          </a:fillRef>
          <a:effectRef idx="0">
            <a:scrgbClr r="0" g="0" b="0"/>
          </a:effectRef>
          <a:fontRef idx="minor"/>
        </xdr:style>
      </xdr:sp>
      <xdr:sp macro="" textlink="">
        <xdr:nvSpPr>
          <xdr:cNvPr id="12" name="TextBox 44">
            <a:extLst>
              <a:ext uri="{FF2B5EF4-FFF2-40B4-BE49-F238E27FC236}">
                <a16:creationId xmlns:a16="http://schemas.microsoft.com/office/drawing/2014/main" id="{00000000-0008-0000-0100-00000C000000}"/>
              </a:ext>
            </a:extLst>
          </xdr:cNvPr>
          <xdr:cNvSpPr/>
        </xdr:nvSpPr>
        <xdr:spPr>
          <a:xfrm>
            <a:off x="13583520" y="1940760"/>
            <a:ext cx="5900040" cy="306828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a:lnSpc>
                <a:spcPct val="100000"/>
              </a:lnSpc>
            </a:pPr>
            <a:r>
              <a:rPr lang="en-AU" sz="3200" b="1" u="none" strike="noStrike">
                <a:solidFill>
                  <a:schemeClr val="lt1"/>
                </a:solidFill>
                <a:effectLst/>
                <a:uFillTx/>
                <a:latin typeface="Montserrat"/>
              </a:rPr>
              <a:t>THE LASER BEAM FUND</a:t>
            </a:r>
            <a:endParaRPr lang="en-IN" sz="3200" b="0" u="none" strike="noStrike">
              <a:effectLst/>
              <a:uFillTx/>
              <a:latin typeface="Times New Roman"/>
            </a:endParaRPr>
          </a:p>
          <a:p>
            <a:pPr>
              <a:lnSpc>
                <a:spcPct val="100000"/>
              </a:lnSpc>
              <a:tabLst>
                <a:tab pos="0" algn="l"/>
              </a:tabLst>
            </a:pPr>
            <a:endParaRPr lang="en-IN" sz="1600" b="0" u="none" strike="noStrike">
              <a:effectLst/>
              <a:uFillTx/>
              <a:latin typeface="Times New Roman"/>
            </a:endParaRPr>
          </a:p>
          <a:p>
            <a:pPr>
              <a:lnSpc>
                <a:spcPct val="100000"/>
              </a:lnSpc>
              <a:tabLst>
                <a:tab pos="0" algn="l"/>
              </a:tabLst>
            </a:pPr>
            <a:r>
              <a:rPr lang="en-AU" sz="2050" b="1" u="none" strike="noStrike">
                <a:solidFill>
                  <a:schemeClr val="lt1"/>
                </a:solidFill>
                <a:effectLst/>
                <a:uFillTx/>
                <a:latin typeface="Montserrat"/>
              </a:rPr>
              <a:t>Monthly Report - September 2025</a:t>
            </a:r>
            <a:endParaRPr lang="en-IN" sz="2050" b="0" u="none" strike="noStrike">
              <a:effectLst/>
              <a:uFillTx/>
              <a:latin typeface="Times New Roman"/>
            </a:endParaRPr>
          </a:p>
          <a:p>
            <a:pPr>
              <a:lnSpc>
                <a:spcPct val="100000"/>
              </a:lnSpc>
              <a:tabLst>
                <a:tab pos="0" algn="l"/>
              </a:tabLst>
            </a:pPr>
            <a:endParaRPr lang="en-IN" sz="2000" b="0" u="none" strike="noStrike">
              <a:effectLst/>
              <a:uFillTx/>
              <a:latin typeface="Times New Roman"/>
            </a:endParaRPr>
          </a:p>
          <a:p>
            <a:pPr>
              <a:lnSpc>
                <a:spcPct val="100000"/>
              </a:lnSpc>
              <a:tabLst>
                <a:tab pos="0" algn="l"/>
              </a:tabLst>
            </a:pPr>
            <a:r>
              <a:rPr lang="en-AU" sz="1400" b="0" u="none" strike="noStrike">
                <a:solidFill>
                  <a:schemeClr val="lt1"/>
                </a:solidFill>
                <a:effectLst/>
                <a:uFillTx/>
                <a:latin typeface="Montserrat"/>
              </a:rPr>
              <a:t>Wholesale Investors | Post Fee Returns | Global L/S</a:t>
            </a:r>
            <a:endParaRPr lang="en-IN" sz="1400" b="0" u="none" strike="noStrike">
              <a:effectLst/>
              <a:uFillTx/>
              <a:latin typeface="Times New Roman"/>
            </a:endParaRPr>
          </a:p>
        </xdr:txBody>
      </xdr:sp>
      <xdr:sp macro="" textlink="">
        <xdr:nvSpPr>
          <xdr:cNvPr id="13" name="TextBox 45">
            <a:extLst>
              <a:ext uri="{FF2B5EF4-FFF2-40B4-BE49-F238E27FC236}">
                <a16:creationId xmlns:a16="http://schemas.microsoft.com/office/drawing/2014/main" id="{00000000-0008-0000-0100-00000D000000}"/>
              </a:ext>
            </a:extLst>
          </xdr:cNvPr>
          <xdr:cNvSpPr/>
        </xdr:nvSpPr>
        <xdr:spPr>
          <a:xfrm>
            <a:off x="13411440" y="4607280"/>
            <a:ext cx="11387160" cy="173232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algn="ctr">
              <a:lnSpc>
                <a:spcPct val="100000"/>
              </a:lnSpc>
            </a:pPr>
            <a:r>
              <a:rPr lang="en-AU" sz="1700" b="0" u="none" strike="noStrike">
                <a:solidFill>
                  <a:srgbClr val="000000"/>
                </a:solidFill>
                <a:effectLst/>
                <a:uFillTx/>
                <a:latin typeface="Montserrat"/>
              </a:rPr>
              <a:t>A global focused fund built to capitalise on market asymmetry </a:t>
            </a:r>
            <a:endParaRPr lang="en-IN" sz="1700" b="0" u="none" strike="noStrike">
              <a:effectLst/>
              <a:uFillTx/>
              <a:latin typeface="Times New Roman"/>
            </a:endParaRPr>
          </a:p>
        </xdr:txBody>
      </xdr:sp>
    </xdr:grpSp>
    <xdr:clientData/>
  </xdr:twoCellAnchor>
  <xdr:twoCellAnchor editAs="oneCell">
    <xdr:from>
      <xdr:col>36</xdr:col>
      <xdr:colOff>545760</xdr:colOff>
      <xdr:row>112</xdr:row>
      <xdr:rowOff>45000</xdr:rowOff>
    </xdr:from>
    <xdr:to>
      <xdr:col>48</xdr:col>
      <xdr:colOff>256680</xdr:colOff>
      <xdr:row>132</xdr:row>
      <xdr:rowOff>78480</xdr:rowOff>
    </xdr:to>
    <xdr:pic>
      <xdr:nvPicPr>
        <xdr:cNvPr id="14" name="Picture 53">
          <a:extLst>
            <a:ext uri="{FF2B5EF4-FFF2-40B4-BE49-F238E27FC236}">
              <a16:creationId xmlns:a16="http://schemas.microsoft.com/office/drawing/2014/main" id="{00000000-0008-0000-0100-00000E000000}"/>
            </a:ext>
          </a:extLst>
        </xdr:cNvPr>
        <xdr:cNvPicPr/>
      </xdr:nvPicPr>
      <xdr:blipFill>
        <a:blip xmlns:r="http://schemas.openxmlformats.org/officeDocument/2006/relationships" r:embed="rId8"/>
        <a:stretch/>
      </xdr:blipFill>
      <xdr:spPr>
        <a:xfrm>
          <a:off x="24708960" y="23168520"/>
          <a:ext cx="6957360" cy="4561200"/>
        </a:xfrm>
        <a:prstGeom prst="rect">
          <a:avLst/>
        </a:prstGeom>
        <a:noFill/>
        <a:ln w="0">
          <a:noFill/>
        </a:ln>
      </xdr:spPr>
    </xdr:pic>
    <xdr:clientData/>
  </xdr:twoCellAnchor>
  <xdr:twoCellAnchor editAs="oneCell">
    <xdr:from>
      <xdr:col>37</xdr:col>
      <xdr:colOff>74160</xdr:colOff>
      <xdr:row>135</xdr:row>
      <xdr:rowOff>207360</xdr:rowOff>
    </xdr:from>
    <xdr:to>
      <xdr:col>42</xdr:col>
      <xdr:colOff>568080</xdr:colOff>
      <xdr:row>160</xdr:row>
      <xdr:rowOff>77760</xdr:rowOff>
    </xdr:to>
    <xdr:pic>
      <xdr:nvPicPr>
        <xdr:cNvPr id="15" name="Picture 54">
          <a:extLst>
            <a:ext uri="{FF2B5EF4-FFF2-40B4-BE49-F238E27FC236}">
              <a16:creationId xmlns:a16="http://schemas.microsoft.com/office/drawing/2014/main" id="{00000000-0008-0000-0100-00000F000000}"/>
            </a:ext>
          </a:extLst>
        </xdr:cNvPr>
        <xdr:cNvPicPr/>
      </xdr:nvPicPr>
      <xdr:blipFill>
        <a:blip xmlns:r="http://schemas.openxmlformats.org/officeDocument/2006/relationships" r:embed="rId9"/>
        <a:stretch/>
      </xdr:blipFill>
      <xdr:spPr>
        <a:xfrm>
          <a:off x="24841080" y="28519560"/>
          <a:ext cx="3513240" cy="4254480"/>
        </a:xfrm>
        <a:prstGeom prst="rect">
          <a:avLst/>
        </a:prstGeom>
        <a:noFill/>
        <a:ln w="0">
          <a:noFill/>
        </a:ln>
      </xdr:spPr>
    </xdr:pic>
    <xdr:clientData/>
  </xdr:twoCellAnchor>
  <xdr:twoCellAnchor>
    <xdr:from>
      <xdr:col>1</xdr:col>
      <xdr:colOff>112320</xdr:colOff>
      <xdr:row>98</xdr:row>
      <xdr:rowOff>17280</xdr:rowOff>
    </xdr:from>
    <xdr:to>
      <xdr:col>14</xdr:col>
      <xdr:colOff>490320</xdr:colOff>
      <xdr:row>103</xdr:row>
      <xdr:rowOff>136440</xdr:rowOff>
    </xdr:to>
    <xdr:sp macro="" textlink="">
      <xdr:nvSpPr>
        <xdr:cNvPr id="16" name="TextBox 4">
          <a:extLst>
            <a:ext uri="{FF2B5EF4-FFF2-40B4-BE49-F238E27FC236}">
              <a16:creationId xmlns:a16="http://schemas.microsoft.com/office/drawing/2014/main" id="{00000000-0008-0000-0100-000010000000}"/>
            </a:ext>
          </a:extLst>
        </xdr:cNvPr>
        <xdr:cNvSpPr/>
      </xdr:nvSpPr>
      <xdr:spPr>
        <a:xfrm>
          <a:off x="716040" y="20353680"/>
          <a:ext cx="10338120" cy="100116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defTabSz="457200">
            <a:lnSpc>
              <a:spcPct val="100000"/>
            </a:lnSpc>
          </a:pPr>
          <a:r>
            <a:rPr lang="en-AU" sz="1500" b="1" u="none" strike="noStrike">
              <a:solidFill>
                <a:srgbClr val="000000"/>
              </a:solidFill>
              <a:effectLst/>
              <a:uFillTx/>
              <a:latin typeface="Montserrat"/>
            </a:rPr>
            <a:t>HEDGING</a:t>
          </a:r>
          <a:endParaRPr lang="en-IN" sz="1500" b="0" u="none" strike="noStrike">
            <a:effectLst/>
            <a:uFillTx/>
            <a:latin typeface="Times New Roman"/>
          </a:endParaRPr>
        </a:p>
        <a:p>
          <a:pPr defTabSz="457200">
            <a:lnSpc>
              <a:spcPct val="100000"/>
            </a:lnSpc>
          </a:pPr>
          <a:r>
            <a:rPr lang="en-AU" sz="1050" b="0" u="none" strike="noStrike">
              <a:solidFill>
                <a:schemeClr val="dk1"/>
              </a:solidFill>
              <a:effectLst/>
              <a:uFillTx/>
              <a:latin typeface="Montserrat"/>
            </a:rPr>
            <a:t>Hedging is part of our core process, not a trade. We aim to protect capital, smooth the return path and keep dry powder so we can play offence when others are forced to sell. We flex net exposure using index futures and options such as put spreads, collars and opportunistic call overwrites to neutralise market risk at low carry, add selective single name shorts where fundamentals are deteriorating or positioning is crowded, and hold cash when the opportunity set is thin. Hedge size lifts into event risk and leadership extremes, then is reduced into dislocations so we can buy weakness. We also use factor, sector and currency hedges when they better match the risk than broad index protection.</a:t>
          </a:r>
          <a:endParaRPr lang="en-IN" sz="1050" b="0" u="none" strike="noStrike">
            <a:effectLst/>
            <a:uFillTx/>
            <a:latin typeface="Times New Roman"/>
          </a:endParaRPr>
        </a:p>
      </xdr:txBody>
    </xdr:sp>
    <xdr:clientData/>
  </xdr:twoCellAnchor>
  <xdr:twoCellAnchor>
    <xdr:from>
      <xdr:col>2</xdr:col>
      <xdr:colOff>107280</xdr:colOff>
      <xdr:row>83</xdr:row>
      <xdr:rowOff>154440</xdr:rowOff>
    </xdr:from>
    <xdr:to>
      <xdr:col>14</xdr:col>
      <xdr:colOff>777600</xdr:colOff>
      <xdr:row>89</xdr:row>
      <xdr:rowOff>104040</xdr:rowOff>
    </xdr:to>
    <xdr:sp macro="" textlink="">
      <xdr:nvSpPr>
        <xdr:cNvPr id="17" name="TextBox 4">
          <a:extLst>
            <a:ext uri="{FF2B5EF4-FFF2-40B4-BE49-F238E27FC236}">
              <a16:creationId xmlns:a16="http://schemas.microsoft.com/office/drawing/2014/main" id="{00000000-0008-0000-0100-000011000000}"/>
            </a:ext>
          </a:extLst>
        </xdr:cNvPr>
        <xdr:cNvSpPr/>
      </xdr:nvSpPr>
      <xdr:spPr>
        <a:xfrm>
          <a:off x="1033200" y="17862120"/>
          <a:ext cx="10308240" cy="100116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defTabSz="457200">
            <a:lnSpc>
              <a:spcPct val="100000"/>
            </a:lnSpc>
          </a:pPr>
          <a:r>
            <a:rPr lang="en-AU" sz="1500" b="1" u="none" strike="noStrike">
              <a:solidFill>
                <a:srgbClr val="000000"/>
              </a:solidFill>
              <a:effectLst/>
              <a:uFillTx/>
              <a:latin typeface="Montserrat"/>
            </a:rPr>
            <a:t>AI ANALYST</a:t>
          </a:r>
          <a:endParaRPr lang="en-IN" sz="1500" b="0" u="none" strike="noStrike">
            <a:effectLst/>
            <a:uFillTx/>
            <a:latin typeface="Times New Roman"/>
          </a:endParaRPr>
        </a:p>
        <a:p>
          <a:pPr defTabSz="457200">
            <a:lnSpc>
              <a:spcPct val="100000"/>
            </a:lnSpc>
          </a:pPr>
          <a:r>
            <a:rPr lang="en-AU" sz="1050" b="0" u="none" strike="noStrike">
              <a:solidFill>
                <a:schemeClr val="dk1"/>
              </a:solidFill>
              <a:effectLst/>
              <a:uFillTx/>
              <a:latin typeface="Montserrat"/>
            </a:rPr>
            <a:t>It ingests earnings calls, company filings, price and volume, options flow and credible web signals each day, then ranks what changed and why it matters. Language models flag guidance shifts, management tone, competitive pressure and anomalies that are easy to miss at speed, while pattern detection surfaces repeatable set ups and builds live watchlists with entry and exit levels, catalysts and risks. The output is concise one page briefs and scenario tests that support quicker and better sizing decisions. It augments our work, it does not decide, and every idea still passes a fundamental review before capital is risked.</a:t>
          </a:r>
          <a:endParaRPr lang="en-IN" sz="1050" b="0" u="none" strike="noStrike">
            <a:effectLst/>
            <a:uFillTx/>
            <a:latin typeface="Times New Roman"/>
          </a:endParaRPr>
        </a:p>
      </xdr:txBody>
    </xdr:sp>
    <xdr:clientData/>
  </xdr:twoCellAnchor>
  <xdr:twoCellAnchor>
    <xdr:from>
      <xdr:col>2</xdr:col>
      <xdr:colOff>84240</xdr:colOff>
      <xdr:row>91</xdr:row>
      <xdr:rowOff>6840</xdr:rowOff>
    </xdr:from>
    <xdr:to>
      <xdr:col>14</xdr:col>
      <xdr:colOff>840960</xdr:colOff>
      <xdr:row>96</xdr:row>
      <xdr:rowOff>109800</xdr:rowOff>
    </xdr:to>
    <xdr:sp macro="" textlink="">
      <xdr:nvSpPr>
        <xdr:cNvPr id="18" name="TextBox 6">
          <a:extLst>
            <a:ext uri="{FF2B5EF4-FFF2-40B4-BE49-F238E27FC236}">
              <a16:creationId xmlns:a16="http://schemas.microsoft.com/office/drawing/2014/main" id="{00000000-0008-0000-0100-000012000000}"/>
            </a:ext>
          </a:extLst>
        </xdr:cNvPr>
        <xdr:cNvSpPr/>
      </xdr:nvSpPr>
      <xdr:spPr>
        <a:xfrm>
          <a:off x="1010160" y="19116360"/>
          <a:ext cx="10394640" cy="97956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defTabSz="457200">
            <a:lnSpc>
              <a:spcPct val="100000"/>
            </a:lnSpc>
          </a:pPr>
          <a:r>
            <a:rPr lang="en-AU" sz="1500" b="1" u="none" strike="noStrike">
              <a:solidFill>
                <a:srgbClr val="000000"/>
              </a:solidFill>
              <a:effectLst/>
              <a:uFillTx/>
              <a:latin typeface="Montserrat"/>
            </a:rPr>
            <a:t>RISK MANAGEMENT</a:t>
          </a:r>
          <a:endParaRPr lang="en-IN" sz="1500" b="0" u="none" strike="noStrike">
            <a:effectLst/>
            <a:uFillTx/>
            <a:latin typeface="Times New Roman"/>
          </a:endParaRPr>
        </a:p>
        <a:p>
          <a:pPr defTabSz="457200">
            <a:lnSpc>
              <a:spcPct val="100000"/>
            </a:lnSpc>
          </a:pPr>
          <a:r>
            <a:rPr lang="en-AU" sz="1050" b="0" u="none" strike="noStrike">
              <a:solidFill>
                <a:schemeClr val="dk1"/>
              </a:solidFill>
              <a:effectLst/>
              <a:uFillTx/>
              <a:latin typeface="Montserrat"/>
            </a:rPr>
            <a:t>We are return focused and drawdown aware. Risk is set before entry: every trade has defined downside, a stop loss, and a position size based on conviction, liquidity and risk reward within name and sector limits. Gross and net exposure sit inside bands, with hedges and shorts used to neutralise unintended risks. Liquidity comes first, supported by event playbooks and ongoing stress tests across rates, currency, factors and commodities; portfolio drawdown triggers force action. Independent trustee, administration and audit provide oversight with daily reconciliation, and the Portfolio Manager invests alongside clients.</a:t>
          </a:r>
          <a:endParaRPr lang="en-IN" sz="1050" b="0" u="none" strike="noStrike">
            <a:effectLst/>
            <a:uFillTx/>
            <a:latin typeface="Times New Roman"/>
          </a:endParaRPr>
        </a:p>
      </xdr:txBody>
    </xdr:sp>
    <xdr:clientData/>
  </xdr:twoCellAnchor>
  <xdr:twoCellAnchor>
    <xdr:from>
      <xdr:col>17</xdr:col>
      <xdr:colOff>599040</xdr:colOff>
      <xdr:row>47</xdr:row>
      <xdr:rowOff>34200</xdr:rowOff>
    </xdr:from>
    <xdr:to>
      <xdr:col>37</xdr:col>
      <xdr:colOff>82440</xdr:colOff>
      <xdr:row>55</xdr:row>
      <xdr:rowOff>1440</xdr:rowOff>
    </xdr:to>
    <xdr:sp macro="" textlink="">
      <xdr:nvSpPr>
        <xdr:cNvPr id="19" name="Picture 17">
          <a:extLst>
            <a:ext uri="{FF2B5EF4-FFF2-40B4-BE49-F238E27FC236}">
              <a16:creationId xmlns:a16="http://schemas.microsoft.com/office/drawing/2014/main" id="{00000000-0008-0000-0100-000013000000}"/>
            </a:ext>
          </a:extLst>
        </xdr:cNvPr>
        <xdr:cNvSpPr/>
      </xdr:nvSpPr>
      <xdr:spPr>
        <a:xfrm>
          <a:off x="13408200" y="9770760"/>
          <a:ext cx="11441160" cy="2024640"/>
        </a:xfrm>
        <a:prstGeom prst="roundRect">
          <a:avLst>
            <a:gd name="adj" fmla="val 8594"/>
          </a:avLst>
        </a:prstGeom>
        <a:blipFill rotWithShape="0">
          <a:blip xmlns:r="http://schemas.openxmlformats.org/officeDocument/2006/relationships" r:embed="rId7"/>
          <a:srcRect/>
          <a:stretch/>
        </a:blipFill>
        <a:ln w="0">
          <a:noFill/>
        </a:ln>
        <a:effectLst>
          <a:reflection blurRad="12700" stA="38000" endPos="28000" dist="5000" dir="5400000" sy="-100000" algn="bl" rotWithShape="0"/>
        </a:effectLst>
      </xdr:spPr>
      <xdr:style>
        <a:lnRef idx="0">
          <a:scrgbClr r="0" g="0" b="0"/>
        </a:lnRef>
        <a:fillRef idx="0">
          <a:scrgbClr r="0" g="0" b="0"/>
        </a:fillRef>
        <a:effectRef idx="0">
          <a:scrgbClr r="0" g="0" b="0"/>
        </a:effectRef>
        <a:fontRef idx="minor"/>
      </xdr:style>
    </xdr:sp>
    <xdr:clientData/>
  </xdr:twoCellAnchor>
  <xdr:twoCellAnchor>
    <xdr:from>
      <xdr:col>18</xdr:col>
      <xdr:colOff>189000</xdr:colOff>
      <xdr:row>47</xdr:row>
      <xdr:rowOff>234000</xdr:rowOff>
    </xdr:from>
    <xdr:to>
      <xdr:col>30</xdr:col>
      <xdr:colOff>581760</xdr:colOff>
      <xdr:row>55</xdr:row>
      <xdr:rowOff>224640</xdr:rowOff>
    </xdr:to>
    <xdr:sp macro="" textlink="">
      <xdr:nvSpPr>
        <xdr:cNvPr id="20" name="TextBox 18">
          <a:extLst>
            <a:ext uri="{FF2B5EF4-FFF2-40B4-BE49-F238E27FC236}">
              <a16:creationId xmlns:a16="http://schemas.microsoft.com/office/drawing/2014/main" id="{00000000-0008-0000-0100-000014000000}"/>
            </a:ext>
          </a:extLst>
        </xdr:cNvPr>
        <xdr:cNvSpPr/>
      </xdr:nvSpPr>
      <xdr:spPr>
        <a:xfrm>
          <a:off x="13602240" y="9970560"/>
          <a:ext cx="7498800" cy="204804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defTabSz="914400">
            <a:lnSpc>
              <a:spcPct val="100000"/>
            </a:lnSpc>
            <a:tabLst>
              <a:tab pos="0" algn="l"/>
            </a:tabLst>
          </a:pPr>
          <a:endParaRPr lang="en-IN" sz="3200" b="0" u="none" strike="noStrike">
            <a:effectLst/>
            <a:uFillTx/>
            <a:latin typeface="Times New Roman"/>
          </a:endParaRPr>
        </a:p>
        <a:p>
          <a:pPr defTabSz="914400">
            <a:lnSpc>
              <a:spcPct val="100000"/>
            </a:lnSpc>
            <a:tabLst>
              <a:tab pos="0" algn="l"/>
            </a:tabLst>
          </a:pPr>
          <a:r>
            <a:rPr lang="en-AU" sz="3200" b="1" u="none" strike="noStrike">
              <a:solidFill>
                <a:schemeClr val="lt1"/>
              </a:solidFill>
              <a:effectLst/>
              <a:uFillTx/>
              <a:latin typeface="Montserrat"/>
            </a:rPr>
            <a:t>THE LASER BEAM FUND</a:t>
          </a:r>
          <a:endParaRPr lang="en-IN" sz="3200" b="0" u="none" strike="noStrike">
            <a:effectLst/>
            <a:uFillTx/>
            <a:latin typeface="Times New Roman"/>
          </a:endParaRPr>
        </a:p>
        <a:p>
          <a:pPr defTabSz="914400">
            <a:lnSpc>
              <a:spcPct val="100000"/>
            </a:lnSpc>
            <a:tabLst>
              <a:tab pos="0" algn="l"/>
            </a:tabLst>
          </a:pPr>
          <a:endParaRPr lang="en-IN" sz="3200" b="0" u="none" strike="noStrike">
            <a:effectLst/>
            <a:uFillTx/>
            <a:latin typeface="Times New Roman"/>
          </a:endParaRPr>
        </a:p>
      </xdr:txBody>
    </xdr:sp>
    <xdr:clientData/>
  </xdr:twoCellAnchor>
  <xdr:twoCellAnchor>
    <xdr:from>
      <xdr:col>18</xdr:col>
      <xdr:colOff>0</xdr:colOff>
      <xdr:row>54</xdr:row>
      <xdr:rowOff>169560</xdr:rowOff>
    </xdr:from>
    <xdr:to>
      <xdr:col>37</xdr:col>
      <xdr:colOff>193320</xdr:colOff>
      <xdr:row>57</xdr:row>
      <xdr:rowOff>169200</xdr:rowOff>
    </xdr:to>
    <xdr:sp macro="" textlink="">
      <xdr:nvSpPr>
        <xdr:cNvPr id="21" name="TextBox 19">
          <a:extLst>
            <a:ext uri="{FF2B5EF4-FFF2-40B4-BE49-F238E27FC236}">
              <a16:creationId xmlns:a16="http://schemas.microsoft.com/office/drawing/2014/main" id="{00000000-0008-0000-0100-000015000000}"/>
            </a:ext>
          </a:extLst>
        </xdr:cNvPr>
        <xdr:cNvSpPr/>
      </xdr:nvSpPr>
      <xdr:spPr>
        <a:xfrm>
          <a:off x="13413240" y="11706120"/>
          <a:ext cx="11547000" cy="79992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algn="ctr">
            <a:lnSpc>
              <a:spcPct val="100000"/>
            </a:lnSpc>
          </a:pPr>
          <a:r>
            <a:rPr lang="en-AU" sz="1700" b="0" u="none" strike="noStrike">
              <a:solidFill>
                <a:srgbClr val="000000"/>
              </a:solidFill>
              <a:effectLst/>
              <a:uFillTx/>
              <a:latin typeface="Montserrat"/>
            </a:rPr>
            <a:t>A global investment fund built to capitalise on market asymmetry </a:t>
          </a:r>
          <a:endParaRPr lang="en-IN" sz="1700" b="0" u="none" strike="noStrike">
            <a:effectLst/>
            <a:uFillTx/>
            <a:latin typeface="Times New Roman"/>
          </a:endParaRPr>
        </a:p>
      </xdr:txBody>
    </xdr:sp>
    <xdr:clientData/>
  </xdr:twoCellAnchor>
  <xdr:twoCellAnchor editAs="oneCell">
    <xdr:from>
      <xdr:col>2</xdr:col>
      <xdr:colOff>0</xdr:colOff>
      <xdr:row>0</xdr:row>
      <xdr:rowOff>0</xdr:rowOff>
    </xdr:from>
    <xdr:to>
      <xdr:col>15</xdr:col>
      <xdr:colOff>5086</xdr:colOff>
      <xdr:row>16</xdr:row>
      <xdr:rowOff>57960</xdr:rowOff>
    </xdr:to>
    <xdr:pic>
      <xdr:nvPicPr>
        <xdr:cNvPr id="22" name="Picture 20">
          <a:extLst>
            <a:ext uri="{FF2B5EF4-FFF2-40B4-BE49-F238E27FC236}">
              <a16:creationId xmlns:a16="http://schemas.microsoft.com/office/drawing/2014/main" id="{00000000-0008-0000-0100-000016000000}"/>
            </a:ext>
          </a:extLst>
        </xdr:cNvPr>
        <xdr:cNvPicPr/>
      </xdr:nvPicPr>
      <xdr:blipFill>
        <a:blip xmlns:r="http://schemas.openxmlformats.org/officeDocument/2006/relationships" r:embed="rId10"/>
        <a:stretch/>
      </xdr:blipFill>
      <xdr:spPr>
        <a:xfrm>
          <a:off x="925920" y="0"/>
          <a:ext cx="10503720" cy="3096360"/>
        </a:xfrm>
        <a:prstGeom prst="rect">
          <a:avLst/>
        </a:prstGeom>
        <a:noFill/>
        <a:ln w="0">
          <a:noFill/>
        </a:ln>
      </xdr:spPr>
    </xdr:pic>
    <xdr:clientData/>
  </xdr:twoCellAnchor>
  <xdr:twoCellAnchor editAs="oneCell">
    <xdr:from>
      <xdr:col>3</xdr:col>
      <xdr:colOff>203400</xdr:colOff>
      <xdr:row>108</xdr:row>
      <xdr:rowOff>102600</xdr:rowOff>
    </xdr:from>
    <xdr:to>
      <xdr:col>12</xdr:col>
      <xdr:colOff>749160</xdr:colOff>
      <xdr:row>121</xdr:row>
      <xdr:rowOff>2520</xdr:rowOff>
    </xdr:to>
    <xdr:pic>
      <xdr:nvPicPr>
        <xdr:cNvPr id="23" name="Picture 8">
          <a:extLst>
            <a:ext uri="{FF2B5EF4-FFF2-40B4-BE49-F238E27FC236}">
              <a16:creationId xmlns:a16="http://schemas.microsoft.com/office/drawing/2014/main" id="{00000000-0008-0000-0100-000017000000}"/>
            </a:ext>
          </a:extLst>
        </xdr:cNvPr>
        <xdr:cNvPicPr/>
      </xdr:nvPicPr>
      <xdr:blipFill>
        <a:blip xmlns:r="http://schemas.openxmlformats.org/officeDocument/2006/relationships" r:embed="rId11"/>
        <a:stretch/>
      </xdr:blipFill>
      <xdr:spPr>
        <a:xfrm>
          <a:off x="1239840" y="22197600"/>
          <a:ext cx="8340840" cy="3119040"/>
        </a:xfrm>
        <a:prstGeom prst="rect">
          <a:avLst/>
        </a:prstGeom>
        <a:noFill/>
        <a:ln w="0">
          <a:noFill/>
        </a:ln>
      </xdr:spPr>
    </xdr:pic>
    <xdr:clientData/>
  </xdr:twoCellAnchor>
  <xdr:twoCellAnchor editAs="oneCell">
    <xdr:from>
      <xdr:col>3</xdr:col>
      <xdr:colOff>736560</xdr:colOff>
      <xdr:row>139</xdr:row>
      <xdr:rowOff>9720</xdr:rowOff>
    </xdr:from>
    <xdr:to>
      <xdr:col>16</xdr:col>
      <xdr:colOff>164881</xdr:colOff>
      <xdr:row>161</xdr:row>
      <xdr:rowOff>80280</xdr:rowOff>
    </xdr:to>
    <xdr:pic>
      <xdr:nvPicPr>
        <xdr:cNvPr id="24" name="Picture 24">
          <a:extLst>
            <a:ext uri="{FF2B5EF4-FFF2-40B4-BE49-F238E27FC236}">
              <a16:creationId xmlns:a16="http://schemas.microsoft.com/office/drawing/2014/main" id="{00000000-0008-0000-0100-000018000000}"/>
            </a:ext>
          </a:extLst>
        </xdr:cNvPr>
        <xdr:cNvPicPr/>
      </xdr:nvPicPr>
      <xdr:blipFill>
        <a:blip xmlns:r="http://schemas.openxmlformats.org/officeDocument/2006/relationships" r:embed="rId12"/>
        <a:stretch/>
      </xdr:blipFill>
      <xdr:spPr>
        <a:xfrm>
          <a:off x="1773000" y="29105280"/>
          <a:ext cx="10425600" cy="384264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83</xdr:col>
      <xdr:colOff>394560</xdr:colOff>
      <xdr:row>25</xdr:row>
      <xdr:rowOff>41040</xdr:rowOff>
    </xdr:from>
    <xdr:to>
      <xdr:col>84</xdr:col>
      <xdr:colOff>353520</xdr:colOff>
      <xdr:row>28</xdr:row>
      <xdr:rowOff>24480</xdr:rowOff>
    </xdr:to>
    <xdr:sp macro="[0]!Step2Hardcode" textlink="">
      <xdr:nvSpPr>
        <xdr:cNvPr id="25" name="Rectangle: Rounded Corners 3">
          <a:extLst>
            <a:ext uri="{FF2B5EF4-FFF2-40B4-BE49-F238E27FC236}">
              <a16:creationId xmlns:a16="http://schemas.microsoft.com/office/drawing/2014/main" id="{00000000-0008-0000-0200-000019000000}"/>
            </a:ext>
          </a:extLst>
        </xdr:cNvPr>
        <xdr:cNvSpPr/>
      </xdr:nvSpPr>
      <xdr:spPr>
        <a:xfrm>
          <a:off x="72967320" y="5555520"/>
          <a:ext cx="885600" cy="526320"/>
        </a:xfrm>
        <a:prstGeom prst="roundRect">
          <a:avLst>
            <a:gd name="adj" fmla="val 16667"/>
          </a:avLst>
        </a:prstGeom>
        <a:solidFill>
          <a:srgbClr val="A5300F"/>
        </a:solidFill>
        <a:ln w="19050">
          <a:solidFill>
            <a:srgbClr val="FFFFFF"/>
          </a:solidFill>
          <a:miter/>
        </a:ln>
      </xdr:spPr>
      <xdr:style>
        <a:lnRef idx="3">
          <a:schemeClr val="lt1"/>
        </a:lnRef>
        <a:fillRef idx="1">
          <a:schemeClr val="accent1"/>
        </a:fillRef>
        <a:effectRef idx="1">
          <a:schemeClr val="accent1"/>
        </a:effectRef>
        <a:fontRef idx="minor"/>
      </xdr:style>
      <xdr:txBody>
        <a:bodyPr vertOverflow="clip" horzOverflow="clip" lIns="90000" tIns="45000" rIns="90000" bIns="45000" anchor="ctr">
          <a:noAutofit/>
        </a:bodyPr>
        <a:lstStyle/>
        <a:p>
          <a:pPr>
            <a:lnSpc>
              <a:spcPct val="100000"/>
            </a:lnSpc>
          </a:pPr>
          <a:r>
            <a:rPr lang="en-AU" sz="1100" b="0" u="none" strike="noStrike">
              <a:solidFill>
                <a:schemeClr val="lt1"/>
              </a:solidFill>
              <a:effectLst/>
              <a:uFillTx/>
              <a:latin typeface="Calibri"/>
            </a:rPr>
            <a:t>Hardcode</a:t>
          </a:r>
          <a:endParaRPr lang="en-IN" sz="1100" b="0" u="none" strike="noStrike">
            <a:effectLst/>
            <a:uFillTx/>
            <a:latin typeface="Times New Roman"/>
          </a:endParaRPr>
        </a:p>
      </xdr:txBody>
    </xdr:sp>
    <xdr:clientData/>
  </xdr:twoCellAnchor>
  <xdr:twoCellAnchor>
    <xdr:from>
      <xdr:col>83</xdr:col>
      <xdr:colOff>394560</xdr:colOff>
      <xdr:row>21</xdr:row>
      <xdr:rowOff>26280</xdr:rowOff>
    </xdr:from>
    <xdr:to>
      <xdr:col>84</xdr:col>
      <xdr:colOff>366840</xdr:colOff>
      <xdr:row>24</xdr:row>
      <xdr:rowOff>66960</xdr:rowOff>
    </xdr:to>
    <xdr:sp macro="[0]!update_ASX_factset" textlink="">
      <xdr:nvSpPr>
        <xdr:cNvPr id="26" name="Rectangle: Rounded Corners 4">
          <a:extLst>
            <a:ext uri="{FF2B5EF4-FFF2-40B4-BE49-F238E27FC236}">
              <a16:creationId xmlns:a16="http://schemas.microsoft.com/office/drawing/2014/main" id="{00000000-0008-0000-0200-00001A000000}"/>
            </a:ext>
          </a:extLst>
        </xdr:cNvPr>
        <xdr:cNvSpPr/>
      </xdr:nvSpPr>
      <xdr:spPr>
        <a:xfrm>
          <a:off x="72967320" y="4777200"/>
          <a:ext cx="898920" cy="623160"/>
        </a:xfrm>
        <a:prstGeom prst="roundRect">
          <a:avLst>
            <a:gd name="adj" fmla="val 16667"/>
          </a:avLst>
        </a:prstGeom>
        <a:solidFill>
          <a:srgbClr val="A5300F"/>
        </a:solidFill>
        <a:ln w="19050">
          <a:solidFill>
            <a:srgbClr val="FFFFFF"/>
          </a:solidFill>
          <a:miter/>
        </a:ln>
      </xdr:spPr>
      <xdr:style>
        <a:lnRef idx="3">
          <a:schemeClr val="lt1"/>
        </a:lnRef>
        <a:fillRef idx="1">
          <a:schemeClr val="accent1"/>
        </a:fillRef>
        <a:effectRef idx="1">
          <a:schemeClr val="accent1"/>
        </a:effectRef>
        <a:fontRef idx="minor"/>
      </xdr:style>
      <xdr:txBody>
        <a:bodyPr vertOverflow="clip" horzOverflow="clip" lIns="90000" tIns="45000" rIns="90000" bIns="45000" anchor="ctr">
          <a:noAutofit/>
        </a:bodyPr>
        <a:lstStyle/>
        <a:p>
          <a:pPr>
            <a:lnSpc>
              <a:spcPct val="100000"/>
            </a:lnSpc>
          </a:pPr>
          <a:r>
            <a:rPr lang="en-AU" sz="1100" b="0" u="none" strike="noStrike">
              <a:solidFill>
                <a:schemeClr val="lt1"/>
              </a:solidFill>
              <a:effectLst/>
              <a:uFillTx/>
              <a:latin typeface="Calibri"/>
            </a:rPr>
            <a:t>Factset Refresh</a:t>
          </a:r>
          <a:endParaRPr lang="en-IN" sz="1100" b="0" u="none" strike="noStrike">
            <a:effectLst/>
            <a:uFillTx/>
            <a:latin typeface="Times New Roman"/>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laserbeamptyltd-my.sharepoint.com/personal/hayden_laserbeamcapital_com/Documents/LBF%20Model.xlsx" TargetMode="External"/><Relationship Id="rId1" Type="http://schemas.openxmlformats.org/officeDocument/2006/relationships/externalLinkPath" Target="https://laserbeamptyltd-my.sharepoint.com/personal/hayden_laserbeamcapital_com/Documents/LBF%20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laserbeamptyltd.sharepoint.com/sites/LaserBeamCapital2/Shared%20Documents/Data/LBF%20Performance.xlsm" TargetMode="External"/><Relationship Id="rId1" Type="http://schemas.openxmlformats.org/officeDocument/2006/relationships/externalLinkPath" Target="https://laserbeamptyltd.sharepoint.com/sites/LaserBeamCapital2/Shared%20Documents/Data/LBF%20Performance.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nthly"/>
      <sheetName val="Portfolio"/>
      <sheetName val="Admin Fee"/>
      <sheetName val="Quote Comparisons"/>
    </sheetNames>
    <sheetDataSet>
      <sheetData sheetId="0">
        <row r="41">
          <cell r="G41">
            <v>1.1200237411717677</v>
          </cell>
        </row>
        <row r="43">
          <cell r="F43"/>
        </row>
      </sheetData>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structions - New month"/>
      <sheetName val="Newsletter"/>
      <sheetName val="WinLoss"/>
      <sheetName val="Performancedata"/>
      <sheetName val="IB OCt"/>
      <sheetName val="Performance"/>
      <sheetName val="Holdings"/>
      <sheetName val="Stats"/>
      <sheetName val="TheFund"/>
      <sheetName val="Exposure"/>
      <sheetName val="Text"/>
    </sheetNames>
    <sheetDataSet>
      <sheetData sheetId="0"/>
      <sheetData sheetId="1"/>
      <sheetData sheetId="2"/>
      <sheetData sheetId="3">
        <row r="3">
          <cell r="B3">
            <v>1</v>
          </cell>
        </row>
        <row r="4">
          <cell r="B4">
            <v>1.0266</v>
          </cell>
        </row>
        <row r="5">
          <cell r="B5">
            <v>1.0504</v>
          </cell>
        </row>
        <row r="6">
          <cell r="B6">
            <v>1.085396</v>
          </cell>
        </row>
        <row r="7">
          <cell r="B7">
            <v>1.1200237411717677</v>
          </cell>
        </row>
      </sheetData>
      <sheetData sheetId="4"/>
      <sheetData sheetId="5"/>
      <sheetData sheetId="6"/>
      <sheetData sheetId="7"/>
      <sheetData sheetId="8"/>
      <sheetData sheetId="9"/>
      <sheetData sheetId="10"/>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etPerformanceTable" displayName="NetPerformanceTable" ref="D1:E5" totalsRowShown="0">
  <autoFilter ref="D1:E5" xr:uid="{00000000-0009-0000-0100-000001000000}"/>
  <tableColumns count="2">
    <tableColumn id="1" xr3:uid="{00000000-0010-0000-0000-000001000000}" name="label"/>
    <tableColumn id="2" xr3:uid="{00000000-0010-0000-0000-000002000000}" name="valu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 displayName="Table1" ref="A1:B6" totalsRowShown="0">
  <autoFilter ref="A1:B6" xr:uid="{00000000-0009-0000-0100-000002000000}"/>
  <tableColumns count="2">
    <tableColumn id="1" xr3:uid="{00000000-0010-0000-0100-000001000000}" name="Month"/>
    <tableColumn id="2" xr3:uid="{00000000-0010-0000-0100-000002000000}" name="CumulativeRetur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2000000}" name="TopHoldingsTable" displayName="TopHoldingsTable" ref="A1:M12" totalsRowShown="0">
  <autoFilter ref="A1:M12" xr:uid="{00000000-0009-0000-0100-000009000000}"/>
  <tableColumns count="13">
    <tableColumn id="1" xr3:uid="{00000000-0010-0000-0200-000001000000}" name="TopHoldingsTable"/>
    <tableColumn id="2" xr3:uid="{00000000-0010-0000-0200-000002000000}" name="Weight"/>
    <tableColumn id="3" xr3:uid="{00000000-0010-0000-0200-000003000000}" name="Rank"/>
    <tableColumn id="4" xr3:uid="{00000000-0010-0000-0200-000004000000}" name="Column1"/>
    <tableColumn id="5" xr3:uid="{00000000-0010-0000-0200-000005000000}" name="Column2"/>
    <tableColumn id="6" xr3:uid="{00000000-0010-0000-0200-000006000000}" name="Column3"/>
    <tableColumn id="7" xr3:uid="{00000000-0010-0000-0200-000007000000}" name="Column4"/>
    <tableColumn id="8" xr3:uid="{00000000-0010-0000-0200-000008000000}" name="Column5"/>
    <tableColumn id="9" xr3:uid="{00000000-0010-0000-0200-000009000000}" name="Column6"/>
    <tableColumn id="10" xr3:uid="{00000000-0010-0000-0200-00000A000000}" name="Column7"/>
    <tableColumn id="11" xr3:uid="{00000000-0010-0000-0200-00000B000000}" name="Column8"/>
    <tableColumn id="12" xr3:uid="{00000000-0010-0000-0200-00000C000000}" name="Column9"/>
    <tableColumn id="13" xr3:uid="{00000000-0010-0000-0200-00000D000000}" name="Column10"/>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able4" displayName="Table4" ref="A1:D11" totalsRowShown="0">
  <autoFilter ref="A1:D11" xr:uid="{00000000-0009-0000-0100-000003000000}"/>
  <tableColumns count="4">
    <tableColumn id="1" xr3:uid="{00000000-0010-0000-0300-000001000000}" name="key"/>
    <tableColumn id="2" xr3:uid="{00000000-0010-0000-0300-000002000000}" name="value"/>
    <tableColumn id="3" xr3:uid="{00000000-0010-0000-0300-000003000000}" name="Column1"/>
    <tableColumn id="4" xr3:uid="{00000000-0010-0000-0300-000004000000}" name="Column2"/>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able5" displayName="Table5" ref="A1:B10" totalsRowShown="0">
  <autoFilter ref="A1:B10" xr:uid="{00000000-0009-0000-0100-000004000000}"/>
  <tableColumns count="2">
    <tableColumn id="1" xr3:uid="{00000000-0010-0000-0400-000001000000}" name="key"/>
    <tableColumn id="2" xr3:uid="{00000000-0010-0000-0400-000002000000}" name="value"/>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able6" displayName="Table6" ref="A1:B4" totalsRowShown="0">
  <autoFilter ref="A1:B4" xr:uid="{00000000-0009-0000-0100-000005000000}"/>
  <tableColumns count="2">
    <tableColumn id="1" xr3:uid="{00000000-0010-0000-0500-000001000000}" name="key"/>
    <tableColumn id="2" xr3:uid="{00000000-0010-0000-0500-000002000000}" name="value"/>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Table7" displayName="Table7" ref="D1:E10" totalsRowShown="0">
  <autoFilter ref="D1:E10" xr:uid="{00000000-0009-0000-0100-000006000000}"/>
  <tableColumns count="2">
    <tableColumn id="1" xr3:uid="{00000000-0010-0000-0600-000001000000}" name="name"/>
    <tableColumn id="2" xr3:uid="{00000000-0010-0000-0600-000002000000}" name="value"/>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Table8" displayName="Table8" ref="G1:I6" totalsRowShown="0">
  <autoFilter ref="G1:I6" xr:uid="{00000000-0009-0000-0100-000007000000}"/>
  <tableColumns count="3">
    <tableColumn id="1" xr3:uid="{00000000-0010-0000-0700-000001000000}" name="name"/>
    <tableColumn id="2" xr3:uid="{00000000-0010-0000-0700-000002000000}" name="value"/>
    <tableColumn id="3" xr3:uid="{00000000-0010-0000-0700-000003000000}" name="labels"/>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8000000}" name="Table9" displayName="Table9" ref="A1:B5" totalsRowShown="0">
  <autoFilter ref="A1:B5" xr:uid="{00000000-0009-0000-0100-000008000000}"/>
  <tableColumns count="2">
    <tableColumn id="1" xr3:uid="{00000000-0010-0000-0800-000001000000}" name="key"/>
    <tableColumn id="2" xr3:uid="{00000000-0010-0000-0800-000002000000}" name="text"/>
  </tableColumns>
  <tableStyleInfo showFirstColumn="0" showLastColumn="0" showRowStripes="1" showColumnStripes="0"/>
</table>
</file>

<file path=xl/theme/theme1.xml><?xml version="1.0" encoding="utf-8"?>
<a:theme xmlns:a="http://schemas.openxmlformats.org/drawingml/2006/main" name="Office Theme">
  <a:themeElements>
    <a:clrScheme name="Red">
      <a:dk1>
        <a:srgbClr val="000000"/>
      </a:dk1>
      <a:lt1>
        <a:srgbClr val="FFFFFF"/>
      </a:lt1>
      <a:dk2>
        <a:srgbClr val="323232"/>
      </a:dk2>
      <a:lt2>
        <a:srgbClr val="E5C243"/>
      </a:lt2>
      <a:accent1>
        <a:srgbClr val="A5300F"/>
      </a:accent1>
      <a:accent2>
        <a:srgbClr val="D55816"/>
      </a:accent2>
      <a:accent3>
        <a:srgbClr val="E19825"/>
      </a:accent3>
      <a:accent4>
        <a:srgbClr val="B19C7D"/>
      </a:accent4>
      <a:accent5>
        <a:srgbClr val="7F5F52"/>
      </a:accent5>
      <a:accent6>
        <a:srgbClr val="B27D49"/>
      </a:accent6>
      <a:hlink>
        <a:srgbClr val="6B9F25"/>
      </a:hlink>
      <a:folHlink>
        <a:srgbClr val="B26B0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10"/>
  <sheetViews>
    <sheetView zoomScaleNormal="100" workbookViewId="0"/>
  </sheetViews>
  <sheetFormatPr defaultColWidth="3.54296875" defaultRowHeight="14.25" customHeight="1"/>
  <cols>
    <col min="1" max="1" width="3.54296875" style="9"/>
    <col min="2" max="2" width="70.453125" style="9" customWidth="1"/>
    <col min="3" max="16384" width="3.54296875" style="9"/>
  </cols>
  <sheetData>
    <row r="2" spans="2:2">
      <c r="B2" s="10" t="s">
        <v>0</v>
      </c>
    </row>
    <row r="3" spans="2:2">
      <c r="B3" s="9" t="s">
        <v>1</v>
      </c>
    </row>
    <row r="4" spans="2:2">
      <c r="B4" s="10" t="s">
        <v>2</v>
      </c>
    </row>
    <row r="5" spans="2:2">
      <c r="B5" s="10" t="s">
        <v>3</v>
      </c>
    </row>
    <row r="6" spans="2:2">
      <c r="B6" s="10" t="s">
        <v>4</v>
      </c>
    </row>
    <row r="7" spans="2:2">
      <c r="B7" s="11" t="s">
        <v>5</v>
      </c>
    </row>
    <row r="8" spans="2:2">
      <c r="B8" s="10" t="s">
        <v>6</v>
      </c>
    </row>
    <row r="9" spans="2:2">
      <c r="B9" s="10" t="s">
        <v>7</v>
      </c>
    </row>
    <row r="10" spans="2:2">
      <c r="B10" s="10" t="s">
        <v>8</v>
      </c>
    </row>
  </sheetData>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AG137"/>
  <sheetViews>
    <sheetView zoomScale="55" zoomScaleNormal="55" workbookViewId="0">
      <selection activeCell="N19" sqref="N19"/>
    </sheetView>
  </sheetViews>
  <sheetFormatPr defaultColWidth="8.54296875" defaultRowHeight="13.5" customHeight="1"/>
  <cols>
    <col min="1" max="1" width="11.36328125" style="12" bestFit="1" customWidth="1"/>
    <col min="2" max="2" width="4.54296875" style="13" customWidth="1"/>
    <col min="3" max="3" width="1.54296875" style="12" customWidth="1"/>
    <col min="4" max="13" width="12.26953125" style="13" customWidth="1"/>
    <col min="14" max="15" width="12.26953125" style="12" customWidth="1"/>
    <col min="16" max="16" width="8.54296875" style="12"/>
    <col min="17" max="17" width="11" style="12" customWidth="1"/>
    <col min="18" max="20" width="8.54296875" style="12"/>
    <col min="21" max="21" width="5.08984375" style="12" customWidth="1"/>
    <col min="22" max="26" width="8.54296875" style="12"/>
    <col min="27" max="27" width="7.54296875" style="12" customWidth="1"/>
    <col min="28" max="28" width="11" style="12" customWidth="1"/>
    <col min="29" max="31" width="8.54296875" style="12"/>
    <col min="32" max="32" width="8.81640625" style="12" customWidth="1"/>
    <col min="33" max="16384" width="8.54296875" style="12"/>
  </cols>
  <sheetData>
    <row r="2" spans="1:1" ht="13.5" customHeight="1">
      <c r="A2" s="170">
        <v>45961</v>
      </c>
    </row>
    <row r="8" spans="1:1" ht="32.25" customHeight="1"/>
    <row r="9" spans="1:1" ht="28.5" customHeight="1"/>
    <row r="10" spans="1:1" ht="18" customHeight="1"/>
    <row r="11" spans="1:1" ht="18" customHeight="1"/>
    <row r="12" spans="1:1" ht="10.5" customHeight="1"/>
    <row r="13" spans="1:1" ht="10.5" customHeight="1"/>
    <row r="14" spans="1:1" ht="10.5" customHeight="1"/>
    <row r="15" spans="1:1" ht="10.5" customHeight="1"/>
    <row r="16" spans="1:1" ht="6" customHeight="1"/>
    <row r="17" spans="2:15" ht="39.75" customHeight="1">
      <c r="D17" s="8" t="s">
        <v>9</v>
      </c>
      <c r="E17" s="8"/>
      <c r="F17" s="8"/>
      <c r="G17" s="15"/>
      <c r="H17" s="14" t="s">
        <v>10</v>
      </c>
      <c r="I17" s="15"/>
      <c r="J17" s="14" t="s">
        <v>11</v>
      </c>
      <c r="K17" s="14"/>
      <c r="L17" s="14" t="s">
        <v>295</v>
      </c>
      <c r="M17" s="14"/>
      <c r="N17" s="14" t="s">
        <v>12</v>
      </c>
      <c r="O17" s="14"/>
    </row>
    <row r="18" spans="2:15" ht="40.5" customHeight="1">
      <c r="B18" s="16"/>
      <c r="D18" s="7" t="s">
        <v>13</v>
      </c>
      <c r="E18" s="7"/>
      <c r="F18" s="7"/>
      <c r="G18" s="18"/>
      <c r="H18" s="17">
        <f>INDEX(Performancedata!C:C, MATCH(A2, Performancedata!A:A, 0))</f>
        <v>3.1903324843437497E-2</v>
      </c>
      <c r="I18" s="17"/>
      <c r="J18" s="17">
        <f>INDEX(Performancedata!E:E, MATCH(A2, Performancedata!A:A, 0))</f>
        <v>0.12002374117176751</v>
      </c>
      <c r="K18" s="17"/>
      <c r="L18" s="17">
        <f>INDEX(Performancedata!F:F, MATCH(A2, Performancedata!A:A, 0))</f>
        <v>0.12002374117176751</v>
      </c>
      <c r="M18" s="17"/>
      <c r="N18" s="17">
        <f>INDEX(Performancedata!H:H, MATCH(A2, Performancedata!A:A, 0))</f>
        <v>0.40371255294551722</v>
      </c>
      <c r="O18" s="19"/>
    </row>
    <row r="19" spans="2:15" ht="28.5" customHeight="1">
      <c r="B19" s="20"/>
      <c r="C19" s="21"/>
      <c r="D19" s="20"/>
      <c r="E19" s="20"/>
      <c r="F19" s="20"/>
      <c r="G19" s="20"/>
      <c r="H19" s="20"/>
      <c r="I19" s="20"/>
      <c r="J19" s="20"/>
      <c r="K19" s="20"/>
      <c r="L19" s="20"/>
      <c r="M19" s="20"/>
      <c r="N19" s="22"/>
    </row>
    <row r="20" spans="2:15" ht="14"/>
    <row r="21" spans="2:15" ht="14"/>
    <row r="22" spans="2:15" ht="14"/>
    <row r="23" spans="2:15" ht="14"/>
    <row r="24" spans="2:15" ht="14"/>
    <row r="25" spans="2:15" ht="14"/>
    <row r="26" spans="2:15" ht="14"/>
    <row r="27" spans="2:15" ht="14"/>
    <row r="28" spans="2:15" ht="14"/>
    <row r="29" spans="2:15" ht="14"/>
    <row r="30" spans="2:15" ht="14"/>
    <row r="31" spans="2:15" ht="14"/>
    <row r="32" spans="2:15" ht="14"/>
    <row r="33" spans="4:19" ht="14"/>
    <row r="34" spans="4:19" ht="14"/>
    <row r="35" spans="4:19" ht="14"/>
    <row r="36" spans="4:19" ht="14"/>
    <row r="37" spans="4:19" ht="14"/>
    <row r="38" spans="4:19" ht="14"/>
    <row r="39" spans="4:19" ht="14"/>
    <row r="40" spans="4:19" ht="14"/>
    <row r="41" spans="4:19" ht="14"/>
    <row r="42" spans="4:19" ht="14"/>
    <row r="43" spans="4:19" ht="20.25" customHeight="1">
      <c r="D43" s="23" t="s">
        <v>14</v>
      </c>
      <c r="E43" s="23"/>
      <c r="F43" s="23"/>
      <c r="G43" s="23"/>
      <c r="H43" s="23"/>
      <c r="I43" s="23"/>
      <c r="J43" s="23"/>
      <c r="K43" s="23"/>
      <c r="L43" s="23"/>
      <c r="M43" s="23"/>
    </row>
    <row r="44" spans="4:19" ht="20.25" customHeight="1">
      <c r="D44" s="24" t="s">
        <v>15</v>
      </c>
      <c r="E44" s="24"/>
      <c r="F44" s="24"/>
      <c r="G44" s="12"/>
      <c r="H44" s="12"/>
      <c r="I44" s="25"/>
      <c r="J44" s="12"/>
      <c r="K44" s="12"/>
      <c r="L44" s="12"/>
      <c r="M44" s="26"/>
    </row>
    <row r="45" spans="4:19" ht="20.25" customHeight="1">
      <c r="D45" s="24"/>
      <c r="E45" s="24"/>
      <c r="F45" s="24"/>
      <c r="I45" s="27"/>
      <c r="M45" s="26"/>
      <c r="N45" s="28"/>
      <c r="S45" s="13"/>
    </row>
    <row r="46" spans="4:19" ht="20.25" customHeight="1">
      <c r="D46" s="24"/>
      <c r="E46" s="24"/>
      <c r="F46" s="24"/>
      <c r="I46" s="27"/>
      <c r="M46" s="26"/>
    </row>
    <row r="47" spans="4:19" ht="20.25" customHeight="1">
      <c r="D47" s="24"/>
      <c r="E47" s="24"/>
      <c r="F47" s="24"/>
      <c r="I47" s="29"/>
      <c r="J47" s="30"/>
      <c r="K47" s="30"/>
      <c r="M47" s="26"/>
    </row>
    <row r="48" spans="4:19" ht="20.25" customHeight="1">
      <c r="D48" s="24"/>
      <c r="E48" s="24"/>
      <c r="F48" s="24"/>
      <c r="I48" s="29"/>
      <c r="J48" s="30"/>
      <c r="K48" s="30"/>
      <c r="M48" s="26"/>
    </row>
    <row r="49" spans="2:24" ht="20.25" customHeight="1">
      <c r="D49" s="30"/>
      <c r="E49" s="30"/>
      <c r="F49" s="30"/>
      <c r="G49" s="31"/>
      <c r="I49" s="32"/>
      <c r="J49" s="30"/>
      <c r="K49" s="30"/>
      <c r="L49" s="30"/>
    </row>
    <row r="50" spans="2:24" ht="20.25" customHeight="1">
      <c r="D50" s="30"/>
      <c r="E50" s="30"/>
      <c r="F50" s="30"/>
      <c r="G50" s="33"/>
      <c r="H50" s="34"/>
      <c r="I50" s="30"/>
      <c r="J50" s="30"/>
      <c r="K50" s="33"/>
      <c r="L50" s="30"/>
      <c r="S50" s="35"/>
    </row>
    <row r="51" spans="2:24" ht="20.25" customHeight="1">
      <c r="H51" s="12"/>
      <c r="S51" s="24"/>
    </row>
    <row r="52" spans="2:24" ht="20.25" customHeight="1">
      <c r="H52" s="12"/>
      <c r="S52" s="24"/>
    </row>
    <row r="53" spans="2:24" ht="20.25" customHeight="1">
      <c r="S53" s="24"/>
    </row>
    <row r="54" spans="2:24" ht="20.25" customHeight="1">
      <c r="S54" s="24"/>
    </row>
    <row r="55" spans="2:24" ht="20.25" customHeight="1">
      <c r="B55" s="36"/>
      <c r="C55" s="36"/>
      <c r="D55" s="37"/>
      <c r="E55" s="38"/>
      <c r="F55" s="38"/>
      <c r="G55" s="36"/>
      <c r="H55" s="36"/>
      <c r="I55" s="38"/>
      <c r="J55" s="39"/>
      <c r="K55" s="12"/>
      <c r="L55" s="36"/>
      <c r="M55" s="36"/>
      <c r="N55" s="38"/>
      <c r="O55" s="40"/>
      <c r="P55" s="41"/>
      <c r="S55" s="24"/>
    </row>
    <row r="56" spans="2:24" ht="20.25" customHeight="1">
      <c r="B56" s="36"/>
      <c r="C56" s="36"/>
      <c r="D56" s="37"/>
      <c r="E56" s="38"/>
      <c r="F56" s="38"/>
      <c r="G56" s="36"/>
      <c r="H56" s="42"/>
      <c r="I56" s="38"/>
      <c r="J56" s="39"/>
      <c r="K56" s="12"/>
      <c r="L56" s="36"/>
      <c r="M56" s="42"/>
      <c r="N56" s="38"/>
      <c r="O56" s="43"/>
      <c r="S56" s="24"/>
    </row>
    <row r="57" spans="2:24" ht="22.5" customHeight="1">
      <c r="B57" s="36"/>
      <c r="C57" s="36"/>
      <c r="D57" s="37"/>
      <c r="E57" s="38"/>
      <c r="F57" s="38"/>
      <c r="G57" s="36"/>
      <c r="H57" s="42"/>
      <c r="I57" s="38"/>
      <c r="J57" s="44"/>
      <c r="K57" s="12"/>
      <c r="L57" s="36"/>
      <c r="M57" s="42"/>
      <c r="N57" s="38"/>
      <c r="O57" s="45"/>
      <c r="S57" s="24"/>
    </row>
    <row r="58" spans="2:24" ht="20.25" customHeight="1">
      <c r="B58" s="12"/>
      <c r="D58" s="12"/>
      <c r="E58" s="12"/>
      <c r="F58" s="12"/>
      <c r="G58" s="36"/>
      <c r="H58" s="42"/>
      <c r="I58" s="38"/>
      <c r="J58" s="40"/>
      <c r="K58" s="12"/>
      <c r="L58" s="36"/>
      <c r="M58" s="42"/>
      <c r="N58" s="38"/>
      <c r="O58" s="40"/>
      <c r="S58" s="46"/>
    </row>
    <row r="59" spans="2:24" ht="32.25" customHeight="1">
      <c r="B59" s="47"/>
      <c r="C59" s="23"/>
      <c r="D59" s="8"/>
      <c r="E59" s="8"/>
      <c r="F59" s="8"/>
      <c r="G59" s="8"/>
      <c r="H59" s="8"/>
      <c r="I59" s="8"/>
      <c r="J59" s="23"/>
      <c r="K59" s="8"/>
      <c r="L59" s="8"/>
      <c r="M59" s="8"/>
      <c r="N59" s="8"/>
      <c r="O59" s="15"/>
    </row>
    <row r="60" spans="2:24" ht="20.25" customHeight="1">
      <c r="B60" s="47"/>
      <c r="C60" s="47"/>
      <c r="D60" s="38"/>
      <c r="E60" s="48"/>
      <c r="F60" s="38"/>
      <c r="G60" s="36"/>
      <c r="H60" s="38"/>
      <c r="I60" s="38"/>
      <c r="J60" s="49"/>
      <c r="K60" s="12"/>
      <c r="L60" s="36"/>
      <c r="M60" s="38"/>
      <c r="N60" s="38"/>
      <c r="O60" s="50"/>
    </row>
    <row r="62" spans="2:24" ht="19">
      <c r="D62" s="33"/>
      <c r="E62" s="33"/>
      <c r="F62" s="33"/>
      <c r="G62" s="33"/>
      <c r="H62" s="33"/>
      <c r="I62" s="33"/>
      <c r="J62" s="33"/>
      <c r="K62" s="33"/>
      <c r="L62" s="33"/>
      <c r="M62" s="33"/>
      <c r="N62" s="33"/>
      <c r="O62" s="41"/>
    </row>
    <row r="63" spans="2:24" ht="19">
      <c r="D63" s="33"/>
      <c r="E63" s="33"/>
      <c r="F63" s="33"/>
      <c r="G63" s="33"/>
      <c r="H63" s="33"/>
      <c r="I63" s="33"/>
      <c r="J63" s="33"/>
      <c r="K63" s="33"/>
      <c r="L63" s="33"/>
      <c r="M63" s="33"/>
      <c r="N63" s="33"/>
      <c r="O63" s="41"/>
      <c r="X63" s="13"/>
    </row>
    <row r="64" spans="2:24" ht="19">
      <c r="D64" s="33"/>
      <c r="E64" s="33"/>
      <c r="F64" s="33"/>
      <c r="G64" s="33"/>
      <c r="H64" s="33"/>
      <c r="I64" s="33"/>
      <c r="J64" s="33"/>
      <c r="K64" s="33"/>
      <c r="L64" s="33"/>
      <c r="M64" s="33"/>
      <c r="N64" s="33"/>
      <c r="O64" s="41"/>
    </row>
    <row r="65" spans="4:15" ht="19">
      <c r="D65" s="33"/>
      <c r="E65" s="33"/>
      <c r="F65" s="33"/>
      <c r="G65" s="33"/>
      <c r="H65" s="33"/>
      <c r="I65" s="33"/>
      <c r="J65" s="33"/>
      <c r="K65" s="33"/>
      <c r="L65" s="33"/>
      <c r="M65" s="33"/>
      <c r="N65" s="33"/>
      <c r="O65" s="41"/>
    </row>
    <row r="66" spans="4:15" ht="19">
      <c r="D66" s="33"/>
      <c r="E66" s="33"/>
      <c r="F66" s="33"/>
      <c r="G66" s="33"/>
      <c r="H66" s="33"/>
      <c r="I66" s="33"/>
      <c r="J66" s="33"/>
      <c r="K66" s="33"/>
      <c r="L66" s="33"/>
      <c r="M66" s="33"/>
      <c r="N66" s="33"/>
      <c r="O66" s="41"/>
    </row>
    <row r="67" spans="4:15" ht="15.5">
      <c r="D67" s="30"/>
      <c r="E67" s="30"/>
      <c r="F67" s="30"/>
      <c r="G67" s="21"/>
      <c r="H67" s="21"/>
      <c r="I67" s="30"/>
      <c r="J67" s="21"/>
      <c r="K67" s="21"/>
      <c r="L67" s="30"/>
    </row>
    <row r="68" spans="4:15" ht="15.5">
      <c r="D68" s="30"/>
      <c r="E68" s="30"/>
      <c r="F68" s="30"/>
      <c r="G68" s="21"/>
      <c r="H68" s="21"/>
      <c r="I68" s="30"/>
      <c r="J68" s="12"/>
      <c r="K68" s="21"/>
      <c r="L68" s="30"/>
    </row>
    <row r="69" spans="4:15" ht="17.5">
      <c r="J69" s="51"/>
      <c r="K69" s="51"/>
    </row>
    <row r="70" spans="4:15" ht="17.5">
      <c r="J70" s="51"/>
      <c r="K70" s="51"/>
    </row>
    <row r="71" spans="4:15" ht="14"/>
    <row r="72" spans="4:15" ht="14"/>
    <row r="73" spans="4:15" ht="14"/>
    <row r="74" spans="4:15" ht="14"/>
    <row r="75" spans="4:15" ht="14"/>
    <row r="76" spans="4:15" ht="14"/>
    <row r="77" spans="4:15" ht="14"/>
    <row r="78" spans="4:15" ht="14"/>
    <row r="79" spans="4:15" ht="14"/>
    <row r="80" spans="4:15" ht="14"/>
    <row r="81" ht="14"/>
    <row r="82" ht="14"/>
    <row r="83" ht="14"/>
    <row r="84" ht="14"/>
    <row r="85" ht="14"/>
    <row r="86" ht="14"/>
    <row r="87" ht="14"/>
    <row r="88" ht="14"/>
    <row r="89" ht="14"/>
    <row r="90" ht="14"/>
    <row r="91" ht="14"/>
    <row r="92" ht="14"/>
    <row r="93" ht="14"/>
    <row r="94" ht="14"/>
    <row r="95" ht="14"/>
    <row r="96" ht="14"/>
    <row r="97" spans="19:32" ht="14"/>
    <row r="98" spans="19:32" ht="14"/>
    <row r="99" spans="19:32" ht="14"/>
    <row r="100" spans="19:32" ht="14"/>
    <row r="101" spans="19:32" ht="14"/>
    <row r="102" spans="19:32" ht="14"/>
    <row r="103" spans="19:32" ht="14.25" customHeight="1"/>
    <row r="105" spans="19:32" ht="15" customHeight="1"/>
    <row r="111" spans="19:32" ht="26.25" customHeight="1">
      <c r="S111" s="15" t="s">
        <v>14</v>
      </c>
      <c r="T111" s="15"/>
      <c r="U111" s="15"/>
      <c r="V111" s="15"/>
      <c r="W111" s="15"/>
      <c r="X111" s="15" t="s">
        <v>16</v>
      </c>
      <c r="Y111" s="15"/>
      <c r="Z111" s="15"/>
      <c r="AA111" s="15"/>
      <c r="AB111" s="15"/>
      <c r="AC111" s="15" t="s">
        <v>17</v>
      </c>
      <c r="AD111" s="15"/>
      <c r="AE111" s="15"/>
      <c r="AF111" s="15"/>
    </row>
    <row r="112" spans="19:32" ht="27.75" customHeight="1">
      <c r="S112" s="6" t="s">
        <v>18</v>
      </c>
      <c r="T112" s="6"/>
      <c r="U112" s="37"/>
      <c r="V112" s="38"/>
      <c r="W112" s="38"/>
      <c r="X112" s="6" t="s">
        <v>18</v>
      </c>
      <c r="Y112" s="6"/>
      <c r="Z112" s="38"/>
      <c r="AA112" s="38"/>
      <c r="AB112" s="38"/>
      <c r="AC112" s="6" t="s">
        <v>19</v>
      </c>
      <c r="AD112" s="6"/>
      <c r="AE112" s="38"/>
      <c r="AF112" s="40" t="s">
        <v>20</v>
      </c>
    </row>
    <row r="113" spans="19:33" ht="18.75" customHeight="1">
      <c r="S113" s="6" t="s">
        <v>18</v>
      </c>
      <c r="T113" s="6"/>
      <c r="U113" s="37"/>
      <c r="V113" s="38"/>
      <c r="W113" s="38"/>
      <c r="X113" s="6" t="s">
        <v>18</v>
      </c>
      <c r="Y113" s="6"/>
      <c r="Z113" s="38"/>
      <c r="AA113" s="38"/>
      <c r="AB113" s="38"/>
      <c r="AC113" s="36" t="s">
        <v>21</v>
      </c>
      <c r="AD113" s="42"/>
      <c r="AE113" s="38"/>
      <c r="AF113" s="43" t="s">
        <v>22</v>
      </c>
    </row>
    <row r="114" spans="19:33" ht="18.75" customHeight="1">
      <c r="S114" s="6" t="s">
        <v>18</v>
      </c>
      <c r="T114" s="6"/>
      <c r="U114" s="37"/>
      <c r="V114" s="38"/>
      <c r="W114" s="38"/>
      <c r="X114" s="6" t="s">
        <v>18</v>
      </c>
      <c r="Y114" s="6"/>
      <c r="Z114" s="38"/>
      <c r="AA114" s="38"/>
      <c r="AB114" s="38"/>
      <c r="AC114" s="36" t="s">
        <v>23</v>
      </c>
      <c r="AD114" s="42"/>
      <c r="AE114" s="38"/>
      <c r="AF114" s="45" t="s">
        <v>24</v>
      </c>
    </row>
    <row r="115" spans="19:33" ht="21.75" customHeight="1">
      <c r="S115" s="6" t="s">
        <v>18</v>
      </c>
      <c r="T115" s="6"/>
      <c r="U115" s="52"/>
      <c r="V115" s="53"/>
      <c r="W115" s="53"/>
      <c r="X115" s="6" t="s">
        <v>18</v>
      </c>
      <c r="Y115" s="6"/>
      <c r="Z115" s="53"/>
      <c r="AA115" s="54"/>
      <c r="AB115" s="53"/>
      <c r="AC115" s="36" t="s">
        <v>25</v>
      </c>
      <c r="AD115" s="42"/>
      <c r="AE115" s="38"/>
      <c r="AF115" s="40" t="s">
        <v>26</v>
      </c>
      <c r="AG115" s="55"/>
    </row>
    <row r="116" spans="19:33" ht="21" customHeight="1">
      <c r="AC116" s="36" t="s">
        <v>27</v>
      </c>
      <c r="AD116" s="42"/>
      <c r="AE116" s="38"/>
      <c r="AF116" s="40">
        <v>0.01</v>
      </c>
      <c r="AG116" s="55"/>
    </row>
    <row r="117" spans="19:33" ht="19.5" customHeight="1">
      <c r="S117" s="15" t="s">
        <v>28</v>
      </c>
      <c r="T117" s="15"/>
      <c r="U117" s="15"/>
      <c r="V117" s="15"/>
      <c r="W117" s="15"/>
      <c r="X117" s="15" t="s">
        <v>29</v>
      </c>
      <c r="Y117" s="15"/>
      <c r="Z117" s="15"/>
      <c r="AA117" s="15"/>
      <c r="AB117" s="15"/>
      <c r="AC117" s="36" t="s">
        <v>30</v>
      </c>
      <c r="AD117" s="42"/>
      <c r="AE117" s="38"/>
      <c r="AF117" s="40">
        <v>0.2</v>
      </c>
      <c r="AG117" s="55"/>
    </row>
    <row r="118" spans="19:33" ht="19.5" customHeight="1">
      <c r="S118" s="47" t="s">
        <v>31</v>
      </c>
      <c r="T118" s="47"/>
      <c r="U118" s="38"/>
      <c r="V118" s="40">
        <f>5916039/15000000</f>
        <v>0.39440259999999999</v>
      </c>
      <c r="W118" s="38"/>
      <c r="X118" s="36" t="s">
        <v>18</v>
      </c>
      <c r="Y118" s="36"/>
      <c r="Z118" s="56"/>
      <c r="AA118" s="57"/>
      <c r="AB118" s="38"/>
      <c r="AC118" s="36" t="s">
        <v>32</v>
      </c>
      <c r="AD118" s="38"/>
      <c r="AE118" s="38"/>
      <c r="AF118" s="50" t="s">
        <v>33</v>
      </c>
      <c r="AG118" s="55"/>
    </row>
    <row r="119" spans="19:33" ht="19.5" customHeight="1">
      <c r="S119" s="47" t="s">
        <v>34</v>
      </c>
      <c r="T119" s="47"/>
      <c r="U119" s="38"/>
      <c r="V119" s="48">
        <v>-0.16</v>
      </c>
      <c r="W119" s="38"/>
      <c r="X119" s="36" t="s">
        <v>18</v>
      </c>
      <c r="Y119" s="36"/>
      <c r="Z119" s="57"/>
      <c r="AA119" s="57"/>
      <c r="AB119" s="38"/>
      <c r="AC119" s="36" t="s">
        <v>35</v>
      </c>
      <c r="AD119" s="42"/>
      <c r="AE119" s="38"/>
      <c r="AF119" s="58" t="s">
        <v>36</v>
      </c>
      <c r="AG119" s="55"/>
    </row>
    <row r="120" spans="19:33" ht="20.25" customHeight="1">
      <c r="S120" s="47" t="s">
        <v>28</v>
      </c>
      <c r="T120" s="47"/>
      <c r="U120" s="38"/>
      <c r="V120" s="48">
        <f>V118+V119</f>
        <v>0.23440259999999999</v>
      </c>
      <c r="W120" s="38"/>
      <c r="X120" s="36" t="s">
        <v>18</v>
      </c>
      <c r="Y120" s="36"/>
      <c r="Z120" s="57"/>
      <c r="AA120" s="57"/>
      <c r="AB120" s="38"/>
      <c r="AC120" s="36" t="s">
        <v>37</v>
      </c>
      <c r="AD120" s="38"/>
      <c r="AE120" s="38"/>
      <c r="AF120" s="50" t="s">
        <v>38</v>
      </c>
      <c r="AG120" s="55"/>
    </row>
    <row r="121" spans="19:33" ht="14">
      <c r="S121" s="13"/>
      <c r="T121" s="13"/>
      <c r="U121" s="59"/>
      <c r="V121" s="55"/>
      <c r="W121" s="55"/>
      <c r="Y121" s="59"/>
      <c r="Z121" s="59"/>
      <c r="AA121" s="59"/>
      <c r="AD121" s="13"/>
      <c r="AE121" s="13"/>
      <c r="AF121" s="13"/>
    </row>
    <row r="122" spans="19:33" ht="14">
      <c r="S122" s="13"/>
      <c r="T122" s="13"/>
      <c r="U122" s="59"/>
      <c r="V122" s="55"/>
      <c r="W122" s="59"/>
      <c r="X122" s="59"/>
      <c r="Y122" s="59"/>
      <c r="Z122" s="59"/>
      <c r="AA122" s="55"/>
    </row>
    <row r="123" spans="19:33" ht="14">
      <c r="U123" s="55"/>
      <c r="V123" s="55"/>
      <c r="W123" s="55"/>
      <c r="X123" s="55"/>
      <c r="Y123" s="55"/>
      <c r="Z123" s="55"/>
      <c r="AA123" s="55"/>
    </row>
    <row r="124" spans="19:33" ht="14">
      <c r="U124" s="55"/>
      <c r="V124" s="55"/>
      <c r="W124" s="55"/>
      <c r="X124" s="55"/>
      <c r="Y124" s="55"/>
      <c r="Z124" s="55"/>
      <c r="AA124" s="55"/>
      <c r="AE124" s="60"/>
    </row>
    <row r="125" spans="19:33" ht="26.5">
      <c r="S125" s="8" t="s">
        <v>14</v>
      </c>
      <c r="T125" s="8"/>
      <c r="U125" s="8"/>
      <c r="V125" s="8"/>
      <c r="W125" s="38"/>
      <c r="X125" s="8" t="s">
        <v>39</v>
      </c>
      <c r="Y125" s="8"/>
      <c r="Z125" s="8"/>
      <c r="AA125" s="8"/>
      <c r="AC125" s="8" t="s">
        <v>17</v>
      </c>
      <c r="AD125" s="8"/>
      <c r="AE125" s="8"/>
      <c r="AF125" s="8"/>
    </row>
    <row r="126" spans="19:33" ht="24">
      <c r="S126" s="36" t="s">
        <v>40</v>
      </c>
      <c r="T126" s="36"/>
      <c r="U126" s="37"/>
      <c r="V126" s="40">
        <v>0.1</v>
      </c>
      <c r="W126" s="38"/>
      <c r="X126" s="36" t="s">
        <v>41</v>
      </c>
      <c r="Y126" s="36"/>
      <c r="Z126" s="38"/>
      <c r="AA126" s="39">
        <v>3.0806065751749899E-2</v>
      </c>
      <c r="AC126" s="36" t="s">
        <v>19</v>
      </c>
      <c r="AD126" s="36"/>
      <c r="AE126" s="38"/>
      <c r="AF126" s="40" t="s">
        <v>20</v>
      </c>
    </row>
    <row r="127" spans="19:33" ht="24">
      <c r="S127" s="36" t="s">
        <v>18</v>
      </c>
      <c r="T127" s="36"/>
      <c r="U127" s="37"/>
      <c r="V127" s="40">
        <v>0.09</v>
      </c>
      <c r="W127" s="38"/>
      <c r="X127" s="36" t="s">
        <v>42</v>
      </c>
      <c r="Y127" s="42"/>
      <c r="Z127" s="38"/>
      <c r="AA127" s="39">
        <v>2.3183323592441001E-2</v>
      </c>
      <c r="AC127" s="36" t="s">
        <v>21</v>
      </c>
      <c r="AD127" s="42"/>
      <c r="AE127" s="38"/>
      <c r="AF127" s="43" t="s">
        <v>22</v>
      </c>
    </row>
    <row r="128" spans="19:33" ht="24">
      <c r="S128" s="36" t="s">
        <v>43</v>
      </c>
      <c r="T128" s="36"/>
      <c r="U128" s="37"/>
      <c r="V128" s="40">
        <v>0.08</v>
      </c>
      <c r="W128" s="38"/>
      <c r="X128" s="36" t="s">
        <v>44</v>
      </c>
      <c r="Y128" s="42"/>
      <c r="Z128" s="38"/>
      <c r="AA128" s="44">
        <v>3.16591063999812E-2</v>
      </c>
      <c r="AC128" s="36" t="s">
        <v>23</v>
      </c>
      <c r="AD128" s="42"/>
      <c r="AE128" s="38"/>
      <c r="AF128" s="45" t="s">
        <v>24</v>
      </c>
    </row>
    <row r="129" spans="19:32" ht="24">
      <c r="S129" s="36" t="s">
        <v>45</v>
      </c>
      <c r="T129" s="36"/>
      <c r="U129" s="37"/>
      <c r="V129" s="40">
        <v>7.0000000000000007E-2</v>
      </c>
      <c r="W129" s="53"/>
      <c r="X129" s="36" t="s">
        <v>46</v>
      </c>
      <c r="Y129" s="42"/>
      <c r="Z129" s="38"/>
      <c r="AA129" s="44">
        <v>6.9610812276816904E-3</v>
      </c>
      <c r="AC129" s="36" t="s">
        <v>25</v>
      </c>
      <c r="AD129" s="42"/>
      <c r="AE129" s="38"/>
      <c r="AF129" s="40" t="s">
        <v>26</v>
      </c>
    </row>
    <row r="130" spans="19:32" ht="24">
      <c r="X130" s="36" t="s">
        <v>47</v>
      </c>
      <c r="Y130" s="42"/>
      <c r="Z130" s="38"/>
      <c r="AA130" s="40">
        <v>1.72792112752163</v>
      </c>
      <c r="AC130" s="36" t="s">
        <v>27</v>
      </c>
      <c r="AD130" s="42"/>
      <c r="AE130" s="38"/>
      <c r="AF130" s="40">
        <v>0.01</v>
      </c>
    </row>
    <row r="131" spans="19:32" ht="26.5">
      <c r="S131" s="8" t="s">
        <v>28</v>
      </c>
      <c r="T131" s="8"/>
      <c r="U131" s="8"/>
      <c r="V131" s="8"/>
      <c r="W131" s="38"/>
      <c r="X131" s="36" t="s">
        <v>48</v>
      </c>
      <c r="Y131" s="42"/>
      <c r="Z131" s="38"/>
      <c r="AA131" s="40" t="s">
        <v>49</v>
      </c>
      <c r="AC131" s="36" t="s">
        <v>30</v>
      </c>
      <c r="AD131" s="42"/>
      <c r="AE131" s="38"/>
      <c r="AF131" s="40">
        <v>0.2</v>
      </c>
    </row>
    <row r="132" spans="19:32" ht="24">
      <c r="S132" s="47" t="s">
        <v>31</v>
      </c>
      <c r="T132" s="47"/>
      <c r="U132" s="38"/>
      <c r="V132" s="40">
        <v>0.85</v>
      </c>
      <c r="W132" s="38"/>
      <c r="X132" s="36" t="s">
        <v>50</v>
      </c>
      <c r="Y132" s="38"/>
      <c r="Z132" s="38"/>
      <c r="AA132" s="50">
        <v>0.45</v>
      </c>
      <c r="AC132" s="36" t="s">
        <v>32</v>
      </c>
      <c r="AD132" s="38"/>
      <c r="AE132" s="38"/>
      <c r="AF132" s="50" t="s">
        <v>33</v>
      </c>
    </row>
    <row r="133" spans="19:32" ht="24">
      <c r="S133" s="47" t="s">
        <v>34</v>
      </c>
      <c r="T133" s="47"/>
      <c r="U133" s="38"/>
      <c r="V133" s="48">
        <v>-0.16</v>
      </c>
      <c r="W133" s="38"/>
      <c r="X133" s="36" t="s">
        <v>51</v>
      </c>
      <c r="Y133" s="42"/>
      <c r="Z133" s="38"/>
      <c r="AA133" s="50">
        <v>0.55000000000000004</v>
      </c>
      <c r="AC133" s="36" t="s">
        <v>35</v>
      </c>
      <c r="AD133" s="42"/>
      <c r="AE133" s="38"/>
      <c r="AF133" s="58" t="s">
        <v>36</v>
      </c>
    </row>
    <row r="134" spans="19:32" ht="24">
      <c r="S134" s="47" t="s">
        <v>28</v>
      </c>
      <c r="T134" s="47"/>
      <c r="U134" s="38"/>
      <c r="V134" s="48">
        <f>V132+V133</f>
        <v>0.69</v>
      </c>
      <c r="W134" s="38"/>
      <c r="X134" s="36" t="s">
        <v>52</v>
      </c>
      <c r="Y134" s="38"/>
      <c r="Z134" s="38"/>
      <c r="AA134" s="49">
        <v>-1.7766366799105499E-2</v>
      </c>
      <c r="AC134" s="36" t="s">
        <v>37</v>
      </c>
      <c r="AD134" s="38"/>
      <c r="AE134" s="38"/>
      <c r="AF134" s="50" t="s">
        <v>38</v>
      </c>
    </row>
    <row r="135" spans="19:32" ht="24">
      <c r="X135" s="36"/>
    </row>
    <row r="136" spans="19:32" ht="24">
      <c r="X136" s="36"/>
    </row>
    <row r="137" spans="19:32" ht="24">
      <c r="X137" s="36"/>
    </row>
  </sheetData>
  <mergeCells count="18">
    <mergeCell ref="AC125:AF125"/>
    <mergeCell ref="S131:V131"/>
    <mergeCell ref="S114:T114"/>
    <mergeCell ref="X114:Y114"/>
    <mergeCell ref="S115:T115"/>
    <mergeCell ref="X115:Y115"/>
    <mergeCell ref="S125:V125"/>
    <mergeCell ref="X125:AA125"/>
    <mergeCell ref="S112:T112"/>
    <mergeCell ref="X112:Y112"/>
    <mergeCell ref="AC112:AD112"/>
    <mergeCell ref="S113:T113"/>
    <mergeCell ref="X113:Y113"/>
    <mergeCell ref="D17:F17"/>
    <mergeCell ref="D18:F18"/>
    <mergeCell ref="D59:G59"/>
    <mergeCell ref="H59:I59"/>
    <mergeCell ref="K59:N59"/>
  </mergeCells>
  <printOptions horizontalCentered="1"/>
  <pageMargins left="3.9583333333333297E-2" right="3.9583333333333297E-2" top="3.9583333333333297E-2" bottom="7.8472222222222193E-2"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D61"/>
  <sheetViews>
    <sheetView zoomScale="70" zoomScaleNormal="70" workbookViewId="0">
      <selection activeCell="A11" sqref="A11"/>
    </sheetView>
  </sheetViews>
  <sheetFormatPr defaultColWidth="8.81640625" defaultRowHeight="14.25" customHeight="1"/>
  <cols>
    <col min="1" max="1" width="13.1796875" style="61" customWidth="1"/>
    <col min="2" max="2" width="13.1796875" style="62" customWidth="1"/>
    <col min="3" max="3" width="9.08984375" style="61" customWidth="1"/>
    <col min="4" max="6" width="17.1796875" style="61" customWidth="1"/>
    <col min="7" max="7" width="10.08984375" style="61" customWidth="1"/>
    <col min="8" max="8" width="14.54296875" style="61" customWidth="1"/>
    <col min="9" max="9" width="8.54296875" style="61" customWidth="1"/>
    <col min="10" max="10" width="8.81640625" style="61"/>
    <col min="11" max="11" width="10.54296875" style="61" customWidth="1"/>
    <col min="12" max="12" width="10" style="61" customWidth="1"/>
    <col min="13" max="14" width="8.54296875" style="61" customWidth="1"/>
    <col min="15" max="15" width="11.08984375" style="61" customWidth="1"/>
    <col min="16" max="16" width="13.81640625" style="61" customWidth="1"/>
    <col min="17" max="17" width="13" style="63" customWidth="1"/>
    <col min="18" max="18" width="8.81640625" style="61"/>
    <col min="19" max="19" width="9.08984375" style="61" customWidth="1"/>
    <col min="20" max="20" width="12.54296875" style="61" customWidth="1"/>
    <col min="21" max="21" width="8.81640625" style="61"/>
    <col min="22" max="22" width="15" style="61" customWidth="1"/>
    <col min="23" max="23" width="8.1796875" style="61" customWidth="1"/>
    <col min="24" max="24" width="8.81640625" style="61"/>
    <col min="25" max="25" width="10.54296875" style="61" customWidth="1"/>
    <col min="26" max="26" width="10" style="61" customWidth="1"/>
    <col min="27" max="28" width="8.54296875" style="61" customWidth="1"/>
    <col min="29" max="29" width="8.81640625" style="61"/>
    <col min="30" max="32" width="10.81640625" style="61" customWidth="1"/>
    <col min="33" max="33" width="15.54296875" style="61" customWidth="1"/>
    <col min="34" max="34" width="9.54296875" style="61" customWidth="1"/>
    <col min="35" max="35" width="11.54296875" style="61" customWidth="1"/>
    <col min="36" max="36" width="13" style="61" customWidth="1"/>
    <col min="37" max="40" width="14.08984375" style="61" customWidth="1"/>
    <col min="41" max="41" width="8.81640625" style="61"/>
    <col min="42" max="42" width="11.453125" style="61" customWidth="1"/>
    <col min="43" max="50" width="15" style="61" customWidth="1"/>
    <col min="51" max="51" width="8.81640625" style="61"/>
    <col min="52" max="53" width="14.453125" style="64" customWidth="1"/>
    <col min="54" max="54" width="19.453125" style="64" customWidth="1"/>
    <col min="55" max="55" width="9" style="63" customWidth="1"/>
    <col min="56" max="56" width="12.54296875" style="63" customWidth="1"/>
    <col min="57" max="57" width="12.54296875" style="61" customWidth="1"/>
    <col min="58" max="58" width="11.54296875" style="65" customWidth="1"/>
    <col min="59" max="59" width="13" style="65" customWidth="1"/>
    <col min="60" max="60" width="11" style="65" customWidth="1"/>
    <col min="61" max="61" width="12.54296875" style="63" customWidth="1"/>
    <col min="62" max="62" width="13" style="61" customWidth="1"/>
    <col min="63" max="63" width="12.453125" style="61" customWidth="1"/>
    <col min="64" max="65" width="13.1796875" style="61" customWidth="1"/>
    <col min="66" max="67" width="12.54296875" style="61" customWidth="1"/>
    <col min="68" max="68" width="8.54296875" style="63" customWidth="1"/>
    <col min="69" max="69" width="16" style="63" customWidth="1"/>
    <col min="70" max="70" width="7.1796875" style="63" customWidth="1"/>
    <col min="71" max="71" width="25.08984375" style="63" customWidth="1"/>
    <col min="72" max="72" width="8.81640625" style="63"/>
    <col min="73" max="78" width="13.1796875" style="63" customWidth="1"/>
    <col min="79" max="79" width="12.54296875" style="66" customWidth="1"/>
    <col min="80" max="80" width="14.54296875" style="63" customWidth="1"/>
    <col min="81" max="81" width="14.81640625" style="63" customWidth="1"/>
    <col min="82" max="82" width="13.81640625" style="67" customWidth="1"/>
    <col min="83" max="83" width="11.08984375" style="67" customWidth="1"/>
    <col min="84" max="84" width="13.1796875" style="61" customWidth="1"/>
    <col min="85" max="85" width="17.1796875" style="61" customWidth="1"/>
    <col min="86" max="86" width="11.08984375" style="61" customWidth="1"/>
    <col min="87" max="88" width="8.81640625" style="61"/>
    <col min="89" max="89" width="12.1796875" style="61" customWidth="1"/>
    <col min="90" max="90" width="8.54296875" style="63" customWidth="1"/>
    <col min="91" max="91" width="14.08984375" style="63" customWidth="1"/>
    <col min="92" max="92" width="10.453125" style="61" customWidth="1"/>
    <col min="93" max="96" width="8.81640625" style="61"/>
    <col min="97" max="97" width="8.81640625" style="68"/>
    <col min="98" max="98" width="25" style="61" customWidth="1"/>
    <col min="99" max="100" width="9.08984375" style="61" customWidth="1"/>
    <col min="101" max="101" width="22.54296875" style="61" customWidth="1"/>
    <col min="102" max="102" width="8.1796875" style="61" customWidth="1"/>
    <col min="103" max="103" width="10.81640625" style="61" customWidth="1"/>
    <col min="104" max="107" width="11.453125" style="61" customWidth="1"/>
    <col min="108" max="115" width="9.08984375" style="61" customWidth="1"/>
    <col min="116" max="116" width="9.08984375" style="69" customWidth="1"/>
    <col min="117" max="117" width="8.81640625" style="63"/>
    <col min="118" max="118" width="8.1796875" style="63" customWidth="1"/>
    <col min="119" max="119" width="8.81640625" style="63"/>
    <col min="120" max="120" width="10.08984375" style="63" customWidth="1"/>
    <col min="121" max="121" width="7.81640625" style="61" customWidth="1"/>
    <col min="122" max="122" width="9.08984375" style="69" customWidth="1"/>
    <col min="123" max="123" width="5.08984375" style="69" customWidth="1"/>
    <col min="124" max="124" width="6.453125" style="69" customWidth="1"/>
    <col min="125" max="125" width="26.453125" style="61" customWidth="1"/>
    <col min="126" max="16384" width="8.81640625" style="61"/>
  </cols>
  <sheetData>
    <row r="1" spans="1:134" s="75" customFormat="1" ht="30.75" customHeight="1">
      <c r="A1" s="70"/>
      <c r="B1" s="71"/>
      <c r="C1" s="5" t="s">
        <v>53</v>
      </c>
      <c r="D1" s="5"/>
      <c r="E1" s="5"/>
      <c r="F1" s="5"/>
      <c r="G1" s="5"/>
      <c r="H1" s="5"/>
      <c r="I1" s="5"/>
      <c r="J1" s="5"/>
      <c r="K1" s="5"/>
      <c r="L1" s="5"/>
      <c r="M1" s="5"/>
      <c r="N1" s="5"/>
      <c r="O1" s="5"/>
      <c r="P1" s="5"/>
      <c r="Q1" s="5"/>
      <c r="R1" s="72"/>
      <c r="S1" s="5" t="s">
        <v>54</v>
      </c>
      <c r="T1" s="5"/>
      <c r="U1" s="5"/>
      <c r="V1" s="5"/>
      <c r="W1" s="5"/>
      <c r="X1" s="5"/>
      <c r="Y1" s="5"/>
      <c r="Z1" s="5"/>
      <c r="AA1" s="5"/>
      <c r="AB1" s="5"/>
      <c r="AC1" s="72"/>
      <c r="AD1" s="5" t="s">
        <v>55</v>
      </c>
      <c r="AE1" s="5"/>
      <c r="AF1" s="5"/>
      <c r="AG1" s="5"/>
      <c r="AH1" s="5"/>
      <c r="AI1" s="5"/>
      <c r="AJ1" s="5"/>
      <c r="AK1" s="5"/>
      <c r="AL1" s="5"/>
      <c r="AM1" s="5"/>
      <c r="AN1" s="5"/>
      <c r="AO1" s="72"/>
      <c r="AP1" s="5" t="s">
        <v>56</v>
      </c>
      <c r="AQ1" s="5"/>
      <c r="AR1" s="5"/>
      <c r="AS1" s="5"/>
      <c r="AT1" s="5"/>
      <c r="AU1" s="5"/>
      <c r="AV1" s="5"/>
      <c r="AW1" s="5"/>
      <c r="AX1" s="5"/>
      <c r="AY1" s="72"/>
      <c r="AZ1" s="5" t="s">
        <v>57</v>
      </c>
      <c r="BA1" s="5"/>
      <c r="BB1" s="5"/>
      <c r="BC1" s="5"/>
      <c r="BD1" s="5"/>
      <c r="BE1" s="5"/>
      <c r="BF1" s="5"/>
      <c r="BG1" s="5"/>
      <c r="BH1" s="5"/>
      <c r="BI1" s="5"/>
      <c r="BJ1" s="5"/>
      <c r="BK1" s="5"/>
      <c r="BL1" s="5"/>
      <c r="BM1" s="5"/>
      <c r="BN1" s="5"/>
      <c r="BO1" s="72"/>
      <c r="BP1" s="73"/>
      <c r="BQ1" s="73"/>
      <c r="BR1" s="73"/>
      <c r="BS1" s="73"/>
      <c r="BT1" s="73"/>
      <c r="BU1" s="73"/>
      <c r="BV1" s="73"/>
      <c r="BW1" s="73"/>
      <c r="BX1" s="73"/>
      <c r="BY1" s="73"/>
      <c r="BZ1" s="73"/>
      <c r="CA1" s="4"/>
      <c r="CB1" s="4"/>
      <c r="CC1" s="4"/>
      <c r="CD1" s="4"/>
      <c r="CE1" s="4"/>
      <c r="CF1" s="4"/>
      <c r="CG1" s="4"/>
      <c r="CH1" s="4"/>
      <c r="CI1" s="4"/>
      <c r="CJ1" s="4"/>
      <c r="CK1" s="4"/>
      <c r="CL1" s="4"/>
      <c r="CM1" s="4"/>
      <c r="CN1" s="4"/>
      <c r="CO1" s="4"/>
      <c r="CP1" s="4"/>
      <c r="CQ1" s="4"/>
      <c r="CR1" s="4"/>
      <c r="CS1" s="4"/>
      <c r="DL1" s="76"/>
      <c r="DM1" s="73"/>
      <c r="DN1" s="73"/>
      <c r="DO1" s="73"/>
      <c r="DP1" s="73"/>
      <c r="DR1" s="76"/>
      <c r="DS1" s="76"/>
      <c r="DT1" s="76"/>
    </row>
    <row r="2" spans="1:134" s="75" customFormat="1" ht="39.5" customHeight="1">
      <c r="A2" s="77" t="s">
        <v>58</v>
      </c>
      <c r="B2" s="78" t="s">
        <v>59</v>
      </c>
      <c r="C2" s="79" t="s">
        <v>58</v>
      </c>
      <c r="D2" s="79" t="s">
        <v>60</v>
      </c>
      <c r="E2" s="79" t="s">
        <v>61</v>
      </c>
      <c r="F2" s="79" t="s">
        <v>62</v>
      </c>
      <c r="G2" s="79" t="s">
        <v>63</v>
      </c>
      <c r="H2" s="79" t="s">
        <v>64</v>
      </c>
      <c r="I2" s="79" t="s">
        <v>65</v>
      </c>
      <c r="J2" s="79" t="s">
        <v>66</v>
      </c>
      <c r="K2" s="79" t="s">
        <v>67</v>
      </c>
      <c r="L2" s="79" t="s">
        <v>68</v>
      </c>
      <c r="M2" s="79" t="s">
        <v>41</v>
      </c>
      <c r="N2" s="79" t="s">
        <v>42</v>
      </c>
      <c r="O2" s="79" t="s">
        <v>47</v>
      </c>
      <c r="P2" s="79" t="s">
        <v>48</v>
      </c>
      <c r="Q2" s="79" t="s">
        <v>69</v>
      </c>
      <c r="R2" s="79"/>
      <c r="S2" s="79" t="s">
        <v>70</v>
      </c>
      <c r="T2" s="79" t="s">
        <v>71</v>
      </c>
      <c r="U2" s="79" t="s">
        <v>72</v>
      </c>
      <c r="V2" s="79" t="s">
        <v>73</v>
      </c>
      <c r="W2" s="79" t="s">
        <v>65</v>
      </c>
      <c r="X2" s="79" t="s">
        <v>66</v>
      </c>
      <c r="Y2" s="79" t="s">
        <v>67</v>
      </c>
      <c r="Z2" s="72" t="s">
        <v>68</v>
      </c>
      <c r="AA2" s="79" t="s">
        <v>41</v>
      </c>
      <c r="AB2" s="79" t="s">
        <v>42</v>
      </c>
      <c r="AC2" s="79"/>
      <c r="AD2" s="79" t="s">
        <v>74</v>
      </c>
      <c r="AE2" s="79" t="s">
        <v>75</v>
      </c>
      <c r="AF2" s="79" t="s">
        <v>76</v>
      </c>
      <c r="AG2" s="79" t="s">
        <v>77</v>
      </c>
      <c r="AH2" s="79" t="s">
        <v>78</v>
      </c>
      <c r="AI2" s="79" t="s">
        <v>79</v>
      </c>
      <c r="AJ2" s="79" t="s">
        <v>80</v>
      </c>
      <c r="AK2" s="79" t="s">
        <v>81</v>
      </c>
      <c r="AL2" s="79" t="s">
        <v>82</v>
      </c>
      <c r="AM2" s="79" t="s">
        <v>83</v>
      </c>
      <c r="AN2" s="79" t="s">
        <v>84</v>
      </c>
      <c r="AO2" s="79"/>
      <c r="AP2" s="79" t="s">
        <v>76</v>
      </c>
      <c r="AQ2" s="79" t="s">
        <v>77</v>
      </c>
      <c r="AR2" s="79" t="s">
        <v>78</v>
      </c>
      <c r="AS2" s="79" t="s">
        <v>79</v>
      </c>
      <c r="AT2" s="79" t="s">
        <v>80</v>
      </c>
      <c r="AU2" s="79" t="s">
        <v>81</v>
      </c>
      <c r="AV2" s="79" t="s">
        <v>82</v>
      </c>
      <c r="AW2" s="79" t="s">
        <v>83</v>
      </c>
      <c r="AX2" s="79" t="s">
        <v>84</v>
      </c>
      <c r="AY2" s="79"/>
      <c r="AZ2" s="79" t="s">
        <v>85</v>
      </c>
      <c r="BA2" s="79" t="s">
        <v>21</v>
      </c>
      <c r="BB2" s="79" t="s">
        <v>86</v>
      </c>
      <c r="BC2" s="79" t="s">
        <v>87</v>
      </c>
      <c r="BD2" s="79" t="s">
        <v>88</v>
      </c>
      <c r="BE2" s="77" t="s">
        <v>59</v>
      </c>
      <c r="BF2" s="79" t="s">
        <v>89</v>
      </c>
      <c r="BG2" s="79" t="s">
        <v>90</v>
      </c>
      <c r="BH2" s="77" t="s">
        <v>87</v>
      </c>
      <c r="BI2" s="79" t="s">
        <v>91</v>
      </c>
      <c r="BJ2" s="79" t="s">
        <v>28</v>
      </c>
      <c r="BK2" s="79" t="s">
        <v>92</v>
      </c>
      <c r="BL2" s="79" t="s">
        <v>93</v>
      </c>
      <c r="BM2" s="79" t="s">
        <v>94</v>
      </c>
      <c r="BN2" s="79" t="s">
        <v>95</v>
      </c>
      <c r="BO2" s="79"/>
      <c r="BP2" s="73"/>
      <c r="BQ2" s="5" t="s">
        <v>96</v>
      </c>
      <c r="BR2" s="5"/>
      <c r="BS2" s="5"/>
      <c r="BT2" s="73"/>
      <c r="BU2" s="73"/>
      <c r="BV2" s="73"/>
      <c r="BW2" s="73"/>
      <c r="BX2" s="73"/>
      <c r="BY2" s="73"/>
      <c r="BZ2" s="73"/>
      <c r="CA2" s="3" t="s">
        <v>97</v>
      </c>
      <c r="CB2" s="3"/>
      <c r="CC2" s="3"/>
      <c r="CD2" s="3"/>
      <c r="CE2" s="3"/>
      <c r="CF2" s="3"/>
      <c r="CG2" s="3"/>
      <c r="CH2" s="3"/>
      <c r="CI2" s="3"/>
      <c r="CJ2" s="3"/>
      <c r="CK2" s="3"/>
      <c r="CL2" s="3"/>
      <c r="CM2" s="3"/>
      <c r="CN2" s="3"/>
      <c r="CO2" s="3"/>
      <c r="CP2" s="3"/>
      <c r="CQ2" s="3"/>
      <c r="CR2" s="3"/>
      <c r="CS2" s="3"/>
      <c r="DL2" s="76"/>
      <c r="DM2" s="73"/>
      <c r="DN2" s="73"/>
      <c r="DO2" s="73"/>
      <c r="DP2" s="73"/>
      <c r="DR2" s="76"/>
      <c r="DS2" s="76"/>
      <c r="DT2" s="76"/>
    </row>
    <row r="3" spans="1:134" ht="15.5">
      <c r="A3" s="80">
        <v>45838</v>
      </c>
      <c r="B3" s="81">
        <f>[2]Performancedata!B3</f>
        <v>1</v>
      </c>
      <c r="C3" s="82"/>
      <c r="D3" s="82">
        <v>0</v>
      </c>
      <c r="E3" s="82"/>
      <c r="F3" s="82"/>
      <c r="G3" s="82"/>
      <c r="H3" s="83"/>
      <c r="I3" s="82"/>
      <c r="J3" s="84"/>
      <c r="K3" s="84"/>
      <c r="L3" s="84"/>
      <c r="M3" s="82"/>
      <c r="N3" s="82"/>
      <c r="O3" s="83"/>
      <c r="P3" s="85"/>
      <c r="Q3" s="86"/>
      <c r="R3" s="83">
        <v>425.47</v>
      </c>
      <c r="S3" s="82"/>
      <c r="T3" s="82"/>
      <c r="U3" s="83"/>
      <c r="V3" s="85"/>
      <c r="W3" s="82"/>
      <c r="X3" s="84"/>
      <c r="Y3" s="84"/>
      <c r="Z3" s="84"/>
      <c r="AA3" s="83"/>
      <c r="AB3" s="83"/>
      <c r="AC3" s="83"/>
      <c r="AD3" s="82"/>
      <c r="AE3" s="82"/>
      <c r="AF3" s="83"/>
      <c r="AG3" s="83"/>
      <c r="AH3" s="82"/>
      <c r="AI3" s="82"/>
      <c r="AJ3" s="82"/>
      <c r="AK3" s="82"/>
      <c r="AL3" s="82"/>
      <c r="AM3" s="82"/>
      <c r="AN3" s="82"/>
      <c r="AO3" s="83"/>
      <c r="AP3" s="83"/>
      <c r="AQ3" s="83"/>
      <c r="AR3" s="82"/>
      <c r="AS3" s="82"/>
      <c r="AT3" s="82"/>
      <c r="AU3" s="82"/>
      <c r="AV3" s="82"/>
      <c r="AW3" s="82"/>
      <c r="AX3" s="82"/>
      <c r="AY3" s="83"/>
      <c r="AZ3" s="87"/>
      <c r="BA3" s="88"/>
      <c r="BB3" s="89"/>
      <c r="BC3" s="83"/>
      <c r="BD3" s="83"/>
      <c r="BE3" s="88"/>
      <c r="BF3" s="88"/>
      <c r="BG3" s="88"/>
      <c r="BH3" s="88"/>
      <c r="BI3" s="90"/>
      <c r="BJ3" s="91"/>
      <c r="BK3" s="90"/>
      <c r="BL3" s="90"/>
      <c r="BM3" s="92"/>
      <c r="BN3" s="92"/>
      <c r="BO3" s="92"/>
      <c r="BQ3" s="93"/>
      <c r="BR3" s="94"/>
      <c r="BS3" s="95"/>
      <c r="BU3" s="96"/>
      <c r="BV3" s="96"/>
      <c r="BW3" s="96"/>
      <c r="BX3" s="96"/>
      <c r="BY3" s="96"/>
      <c r="BZ3" s="96"/>
      <c r="CA3" s="97" t="s">
        <v>290</v>
      </c>
      <c r="CB3" s="98" t="str">
        <f>LEFT(CA3,3)&amp;"-AU"</f>
        <v>RBL-AU</v>
      </c>
      <c r="CC3" s="99">
        <v>3.8437999999999999</v>
      </c>
      <c r="CD3" s="100" t="e">
        <f ca="1">_xll.fdsb(CB3,"FREF_MARKET_VALUE_COMPANY(NOW,,,AUD,,0,,""LEGACY"")")</f>
        <v>#NAME?</v>
      </c>
      <c r="CE3" s="101" t="e">
        <f ca="1">_xll.fdsb(CB3,"P_VOLUME_AVG(-1AY,NOW)")</f>
        <v>#NAME?</v>
      </c>
      <c r="CF3" s="100" t="e">
        <f ca="1">_xll.fdsb(CB3,"FG_PRICE(NOW,NOW,,AUD)")</f>
        <v>#NAME?</v>
      </c>
      <c r="CG3" s="100" t="str">
        <f t="shared" ref="CG3:CG10" ca="1" si="0">IFERROR(CF3*CE3,"")</f>
        <v/>
      </c>
      <c r="CH3" s="102"/>
      <c r="CI3" s="103" t="s">
        <v>99</v>
      </c>
      <c r="CJ3" s="104">
        <f t="shared" ref="CJ3:CJ10" si="1">CC3/100</f>
        <v>3.8438E-2</v>
      </c>
      <c r="CK3" s="105">
        <v>356.71978759765602</v>
      </c>
      <c r="CL3" s="106">
        <v>1.2613505</v>
      </c>
      <c r="CM3" s="107">
        <v>0.97499999999999998</v>
      </c>
      <c r="CN3" s="108">
        <v>1.2298167375</v>
      </c>
      <c r="CO3" s="109">
        <f t="shared" ref="CO3:CO10" si="2">CN3*CJ3</f>
        <v>4.7271695756025002E-2</v>
      </c>
      <c r="CP3" s="110">
        <f t="shared" ref="CP3:CP12" si="3">CJ3</f>
        <v>3.8438E-2</v>
      </c>
      <c r="CQ3" s="111">
        <f t="shared" ref="CQ3:CQ12" si="4">CJ3*$CB$35</f>
        <v>11.5314</v>
      </c>
      <c r="CR3" s="111">
        <f t="shared" ref="CR3:CR12" si="5">CQ3/CN3</f>
        <v>9.3765189953759265</v>
      </c>
      <c r="CS3" s="112" t="e">
        <f>#REF!+1</f>
        <v>#REF!</v>
      </c>
      <c r="CT3" s="113" t="s">
        <v>100</v>
      </c>
      <c r="CU3" s="102"/>
      <c r="CV3" s="102"/>
      <c r="CW3" s="102"/>
      <c r="CX3" s="102"/>
      <c r="CY3" s="114"/>
      <c r="CZ3" s="114"/>
      <c r="DA3" s="114"/>
      <c r="DB3" s="114"/>
      <c r="DC3" s="115"/>
      <c r="DD3" s="116"/>
      <c r="DE3" s="116"/>
      <c r="DF3" s="116"/>
      <c r="DG3" s="117"/>
      <c r="DH3" s="118"/>
      <c r="DI3" s="118"/>
      <c r="DJ3" s="118"/>
      <c r="DK3" s="119"/>
      <c r="DL3" s="120"/>
      <c r="DM3" s="96"/>
      <c r="DN3" s="121"/>
      <c r="DO3" s="96"/>
      <c r="DP3" s="96"/>
      <c r="DQ3" s="120"/>
      <c r="DR3" s="121"/>
      <c r="DS3" s="120"/>
      <c r="DT3" s="120"/>
      <c r="DU3" s="114"/>
      <c r="DV3" s="114"/>
      <c r="DW3" s="114"/>
      <c r="DX3" s="114"/>
      <c r="DY3" s="114"/>
      <c r="DZ3" s="114"/>
      <c r="EA3" s="114"/>
      <c r="EB3" s="114"/>
      <c r="EC3" s="114"/>
      <c r="ED3" s="114"/>
    </row>
    <row r="4" spans="1:134" ht="15.5">
      <c r="A4" s="80">
        <v>45869</v>
      </c>
      <c r="B4" s="81">
        <f>[2]Performancedata!B4</f>
        <v>1.0266</v>
      </c>
      <c r="C4" s="82">
        <v>2.6599999999999957E-2</v>
      </c>
      <c r="D4" s="82">
        <v>2.6599999999999957E-2</v>
      </c>
      <c r="E4" s="82"/>
      <c r="F4" s="82">
        <v>2.6599999999999957E-2</v>
      </c>
      <c r="G4" s="82">
        <v>2.6599999999999957E-2</v>
      </c>
      <c r="H4" s="83">
        <v>0.37630703279551914</v>
      </c>
      <c r="I4" s="82" t="s">
        <v>289</v>
      </c>
      <c r="J4" s="84" t="s">
        <v>289</v>
      </c>
      <c r="K4" s="85" t="s">
        <v>289</v>
      </c>
      <c r="L4" s="84" t="s">
        <v>289</v>
      </c>
      <c r="M4" s="82">
        <v>2.6599999999999957E-2</v>
      </c>
      <c r="N4" s="82">
        <v>2.6599999999999957E-2</v>
      </c>
      <c r="O4" s="83">
        <v>0.84020059391239776</v>
      </c>
      <c r="P4" s="85" t="s">
        <v>49</v>
      </c>
      <c r="Q4" s="86" t="s">
        <v>289</v>
      </c>
      <c r="R4" s="83">
        <v>438.94</v>
      </c>
      <c r="S4" s="82">
        <v>3.1659106399981152E-2</v>
      </c>
      <c r="T4" s="82">
        <v>3.1659106399981152E-2</v>
      </c>
      <c r="U4" s="83"/>
      <c r="V4" s="122">
        <v>0.44337117323213682</v>
      </c>
      <c r="W4" s="82" t="s">
        <v>289</v>
      </c>
      <c r="X4" s="84" t="s">
        <v>289</v>
      </c>
      <c r="Y4" s="84" t="s">
        <v>289</v>
      </c>
      <c r="Z4" s="84" t="s">
        <v>289</v>
      </c>
      <c r="AA4" s="83">
        <v>3.1659106399981152E-2</v>
      </c>
      <c r="AB4" s="83">
        <v>3.1659106399981152E-2</v>
      </c>
      <c r="AC4" s="83"/>
      <c r="AD4" s="82">
        <v>0</v>
      </c>
      <c r="AE4" s="82">
        <v>3.85E-2</v>
      </c>
      <c r="AF4" s="83">
        <v>3.1530742084739938E-3</v>
      </c>
      <c r="AG4" s="83">
        <v>2.3446925791525963E-2</v>
      </c>
      <c r="AH4" s="82">
        <v>-1.1236890501687968E-2</v>
      </c>
      <c r="AI4" s="82" t="s">
        <v>289</v>
      </c>
      <c r="AJ4" s="82">
        <v>0</v>
      </c>
      <c r="AK4" s="82">
        <v>0</v>
      </c>
      <c r="AL4" s="82">
        <v>0</v>
      </c>
      <c r="AM4" s="82">
        <v>2.3446925791525963E-2</v>
      </c>
      <c r="AN4" s="82" t="s">
        <v>289</v>
      </c>
      <c r="AO4" s="83" t="s">
        <v>289</v>
      </c>
      <c r="AP4" s="83" t="s">
        <v>289</v>
      </c>
      <c r="AQ4" s="83" t="s">
        <v>289</v>
      </c>
      <c r="AR4" s="82" t="s">
        <v>289</v>
      </c>
      <c r="AS4" s="82" t="s">
        <v>289</v>
      </c>
      <c r="AT4" s="82"/>
      <c r="AU4" s="82"/>
      <c r="AV4" s="82">
        <v>2.8506032191507158E-2</v>
      </c>
      <c r="AW4" s="82">
        <v>-3.7836890501687925E-2</v>
      </c>
      <c r="AX4" s="82" t="s">
        <v>289</v>
      </c>
      <c r="AY4" s="83">
        <v>0</v>
      </c>
      <c r="AZ4" s="87">
        <v>0</v>
      </c>
      <c r="BA4" s="88">
        <v>0</v>
      </c>
      <c r="BB4" s="89">
        <v>8.1259387130324236E-4</v>
      </c>
      <c r="BC4" s="83" t="s">
        <v>289</v>
      </c>
      <c r="BD4" s="83" t="s">
        <v>289</v>
      </c>
      <c r="BE4" s="88"/>
      <c r="BF4" s="88"/>
      <c r="BG4" s="88"/>
      <c r="BH4" s="88"/>
      <c r="BI4" s="90">
        <v>0.76509667506176826</v>
      </c>
      <c r="BJ4" s="91">
        <v>0.76509667506176826</v>
      </c>
      <c r="BK4" s="90">
        <v>14435005</v>
      </c>
      <c r="BL4" s="90">
        <v>3335141</v>
      </c>
      <c r="BM4" s="92">
        <v>55688</v>
      </c>
      <c r="BN4" s="92">
        <v>11044174.33</v>
      </c>
      <c r="BO4" s="92">
        <v>3390829</v>
      </c>
      <c r="BP4" s="63">
        <v>3279453</v>
      </c>
      <c r="BQ4" s="123">
        <v>0.23104536506914961</v>
      </c>
      <c r="BR4" s="124">
        <v>-3.857844178093461E-3</v>
      </c>
      <c r="BS4" s="125">
        <v>0.23490320924724306</v>
      </c>
      <c r="BT4" s="63">
        <v>0.22718752089105615</v>
      </c>
      <c r="BU4" s="96">
        <v>0.23490320924724306</v>
      </c>
      <c r="BV4" s="96">
        <v>0.22718752089105615</v>
      </c>
      <c r="BW4" s="96"/>
      <c r="BX4" s="96"/>
      <c r="BY4" s="96"/>
      <c r="BZ4" s="96"/>
      <c r="CA4" s="97" t="s">
        <v>291</v>
      </c>
      <c r="CB4" s="98" t="str">
        <f>LEFT(CA4,3)&amp;"-AU"</f>
        <v>SLC-AU</v>
      </c>
      <c r="CC4" s="99">
        <v>4.0659999999999998</v>
      </c>
      <c r="CD4" s="100" t="e">
        <f ca="1">_xll.fdsb(CB4,"FREF_MARKET_VALUE_COMPANY(NOW,,,AUD,,0,,""LEGACY"")")</f>
        <v>#NAME?</v>
      </c>
      <c r="CE4" s="101" t="e">
        <f ca="1">_xll.fdsb(CB4,"P_VOLUME_AVG(-1AY,NOW)")</f>
        <v>#NAME?</v>
      </c>
      <c r="CF4" s="100" t="e">
        <f ca="1">_xll.fdsb(CB4,"FG_PRICE(NOW,NOW,,AUD)")</f>
        <v>#NAME?</v>
      </c>
      <c r="CG4" s="100" t="str">
        <f t="shared" ca="1" si="0"/>
        <v/>
      </c>
      <c r="CH4" s="102"/>
      <c r="CI4" s="103" t="s">
        <v>99</v>
      </c>
      <c r="CJ4" s="104">
        <f t="shared" si="1"/>
        <v>4.0660000000000002E-2</v>
      </c>
      <c r="CK4" s="105">
        <v>356.71978759765602</v>
      </c>
      <c r="CL4" s="106">
        <v>1.2613505</v>
      </c>
      <c r="CM4" s="107">
        <v>0.97499999999999998</v>
      </c>
      <c r="CN4" s="108">
        <v>1.2298167375</v>
      </c>
      <c r="CO4" s="109">
        <f t="shared" si="2"/>
        <v>5.0004348546750003E-2</v>
      </c>
      <c r="CP4" s="110">
        <f t="shared" si="3"/>
        <v>4.0660000000000002E-2</v>
      </c>
      <c r="CQ4" s="111">
        <f t="shared" si="4"/>
        <v>12.198</v>
      </c>
      <c r="CR4" s="111">
        <f t="shared" si="5"/>
        <v>9.9185509743479159</v>
      </c>
      <c r="CS4" s="112" t="e">
        <f>#REF!+1</f>
        <v>#REF!</v>
      </c>
      <c r="CT4" s="113" t="s">
        <v>100</v>
      </c>
      <c r="CU4" s="102"/>
      <c r="CV4" s="102"/>
      <c r="CW4" s="102"/>
      <c r="CX4" s="102"/>
      <c r="CY4" s="114"/>
      <c r="CZ4" s="114"/>
      <c r="DA4" s="114"/>
      <c r="DB4" s="114"/>
      <c r="DC4" s="115"/>
      <c r="DD4" s="116"/>
      <c r="DE4" s="116"/>
      <c r="DF4" s="116"/>
      <c r="DG4" s="117"/>
      <c r="DH4" s="118"/>
      <c r="DI4" s="118"/>
      <c r="DJ4" s="118"/>
      <c r="DK4" s="119"/>
      <c r="DL4" s="120"/>
      <c r="DM4" s="96"/>
      <c r="DN4" s="121"/>
      <c r="DO4" s="96"/>
      <c r="DP4" s="96"/>
      <c r="DQ4" s="120"/>
      <c r="DR4" s="121"/>
      <c r="DS4" s="120"/>
      <c r="DT4" s="120"/>
      <c r="DU4" s="114"/>
      <c r="DV4" s="114"/>
      <c r="DW4" s="114"/>
      <c r="DX4" s="114"/>
      <c r="DY4" s="114"/>
      <c r="DZ4" s="114"/>
      <c r="EA4" s="114"/>
      <c r="EB4" s="114"/>
      <c r="EC4" s="114"/>
      <c r="ED4" s="114"/>
    </row>
    <row r="5" spans="1:134" ht="15.5">
      <c r="A5" s="80">
        <v>45900</v>
      </c>
      <c r="B5" s="81">
        <f>[2]Performancedata!B5</f>
        <v>1.0504</v>
      </c>
      <c r="C5" s="82">
        <v>2.3183323592441019E-2</v>
      </c>
      <c r="D5" s="82">
        <v>5.04E-2</v>
      </c>
      <c r="E5" s="82">
        <v>5.04E-2</v>
      </c>
      <c r="F5" s="82">
        <v>5.04E-2</v>
      </c>
      <c r="G5" s="82">
        <v>5.04E-2</v>
      </c>
      <c r="H5" s="83">
        <v>0.34207937198549043</v>
      </c>
      <c r="I5" s="82">
        <v>8.3691138147248961E-3</v>
      </c>
      <c r="J5" s="84" t="s">
        <v>289</v>
      </c>
      <c r="K5" s="85" t="s">
        <v>289</v>
      </c>
      <c r="L5" s="84">
        <v>33.276310483010022</v>
      </c>
      <c r="M5" s="82">
        <v>2.6599999999999957E-2</v>
      </c>
      <c r="N5" s="82">
        <v>2.3183323592441019E-2</v>
      </c>
      <c r="O5" s="83">
        <v>1.2546698300878689</v>
      </c>
      <c r="P5" s="85" t="s">
        <v>49</v>
      </c>
      <c r="Q5" s="86">
        <v>0.14453076030886353</v>
      </c>
      <c r="R5" s="83">
        <v>442.46</v>
      </c>
      <c r="S5" s="82">
        <v>8.0193192691484505E-3</v>
      </c>
      <c r="T5" s="82">
        <v>3.9932310151127082E-2</v>
      </c>
      <c r="U5" s="83"/>
      <c r="V5" s="122">
        <v>0.25924577632816881</v>
      </c>
      <c r="W5" s="82">
        <v>1.6715853786018278E-2</v>
      </c>
      <c r="X5" s="84" t="s">
        <v>289</v>
      </c>
      <c r="Y5" s="84" t="s">
        <v>289</v>
      </c>
      <c r="Z5" s="84">
        <v>3.5087211224680694</v>
      </c>
      <c r="AA5" s="83">
        <v>3.1659106399981152E-2</v>
      </c>
      <c r="AB5" s="83">
        <v>8.0193192691484505E-3</v>
      </c>
      <c r="AC5" s="83"/>
      <c r="AD5" s="82">
        <v>0</v>
      </c>
      <c r="AE5" s="82">
        <v>3.5999999999999997E-2</v>
      </c>
      <c r="AF5" s="83">
        <v>2.9516094330215292E-3</v>
      </c>
      <c r="AG5" s="83">
        <v>2.0231714159419489E-2</v>
      </c>
      <c r="AH5" s="82">
        <v>1.498068680374165E-2</v>
      </c>
      <c r="AI5" s="82" t="s">
        <v>289</v>
      </c>
      <c r="AJ5" s="82">
        <v>0</v>
      </c>
      <c r="AK5" s="82">
        <v>0</v>
      </c>
      <c r="AL5" s="82">
        <v>0</v>
      </c>
      <c r="AM5" s="82">
        <v>2.1839319975472726E-2</v>
      </c>
      <c r="AN5" s="82">
        <v>2.2734979480123546E-3</v>
      </c>
      <c r="AO5" s="83">
        <v>33.276310483010022</v>
      </c>
      <c r="AP5" s="83">
        <v>1</v>
      </c>
      <c r="AQ5" s="83">
        <v>0.99999999999999956</v>
      </c>
      <c r="AR5" s="82">
        <v>4.9536302283827577E-2</v>
      </c>
      <c r="AS5" s="82">
        <v>1.2239385005461396</v>
      </c>
      <c r="AT5" s="82"/>
      <c r="AU5" s="82"/>
      <c r="AV5" s="82">
        <v>5.0677098361269213E-3</v>
      </c>
      <c r="AW5" s="82">
        <v>-3.5419313196258351E-2</v>
      </c>
      <c r="AX5" s="82" t="s">
        <v>289</v>
      </c>
      <c r="AY5" s="83">
        <v>0</v>
      </c>
      <c r="AZ5" s="87">
        <v>0</v>
      </c>
      <c r="BA5" s="88">
        <v>0</v>
      </c>
      <c r="BB5" s="89">
        <v>2.5681682983177548E-5</v>
      </c>
      <c r="BC5" s="83">
        <v>1.6573396677125617E-2</v>
      </c>
      <c r="BD5" s="83">
        <v>5.7411930197549539E-2</v>
      </c>
      <c r="BE5" s="88"/>
      <c r="BF5" s="88"/>
      <c r="BG5" s="88"/>
      <c r="BH5" s="88"/>
      <c r="BI5" s="90">
        <v>0.63426789511730897</v>
      </c>
      <c r="BJ5" s="91">
        <v>0.69968228508953856</v>
      </c>
      <c r="BK5" s="90">
        <v>16535083</v>
      </c>
      <c r="BL5" s="90">
        <v>6363581</v>
      </c>
      <c r="BM5" s="92">
        <v>1778665</v>
      </c>
      <c r="BN5" s="92">
        <v>10487672.289999999</v>
      </c>
      <c r="BO5" s="92">
        <v>8142246</v>
      </c>
      <c r="BP5" s="63">
        <v>4584916</v>
      </c>
      <c r="BQ5" s="123">
        <v>0.38485328437722388</v>
      </c>
      <c r="BR5" s="94">
        <v>-0.10756916067491164</v>
      </c>
      <c r="BS5" s="125">
        <v>0.4924224450521355</v>
      </c>
      <c r="BT5" s="63">
        <v>0.2772841237023122</v>
      </c>
      <c r="BU5" s="96">
        <v>0.36366282714968928</v>
      </c>
      <c r="BV5" s="96">
        <v>0.25223582229668418</v>
      </c>
      <c r="BW5" s="96"/>
      <c r="BX5" s="96"/>
      <c r="BY5" s="96"/>
      <c r="BZ5" s="96"/>
      <c r="CA5" s="97" t="s">
        <v>292</v>
      </c>
      <c r="CB5" s="98" t="str">
        <f>LEFT(CA5,3)&amp;"-AU"</f>
        <v>TNE-AU</v>
      </c>
      <c r="CC5" s="99">
        <v>1.7782</v>
      </c>
      <c r="CD5" s="100" t="e">
        <f ca="1">_xll.fdsb(CB5,"FREF_MARKET_VALUE_COMPANY(NOW,,,AUD,,0,,""LEGACY"")")</f>
        <v>#NAME?</v>
      </c>
      <c r="CE5" s="101" t="e">
        <f ca="1">_xll.fdsb(CB5,"P_VOLUME_AVG(-1AY,NOW)")</f>
        <v>#NAME?</v>
      </c>
      <c r="CF5" s="100" t="e">
        <f ca="1">_xll.fdsb(CB5,"FG_PRICE(NOW,NOW,,AUD)")</f>
        <v>#NAME?</v>
      </c>
      <c r="CG5" s="100" t="str">
        <f t="shared" ca="1" si="0"/>
        <v/>
      </c>
      <c r="CI5" s="103" t="s">
        <v>103</v>
      </c>
      <c r="CJ5" s="104">
        <f t="shared" si="1"/>
        <v>1.7781999999999999E-2</v>
      </c>
      <c r="CK5" s="105">
        <v>2499.2705078125</v>
      </c>
      <c r="CL5" s="106">
        <v>1.396039</v>
      </c>
      <c r="CM5" s="107">
        <v>7.78</v>
      </c>
      <c r="CN5" s="108">
        <v>10.86118342</v>
      </c>
      <c r="CO5" s="109">
        <f t="shared" si="2"/>
        <v>0.19313356357443998</v>
      </c>
      <c r="CP5" s="110">
        <f t="shared" si="3"/>
        <v>1.7781999999999999E-2</v>
      </c>
      <c r="CQ5" s="111">
        <f t="shared" si="4"/>
        <v>5.3346</v>
      </c>
      <c r="CR5" s="111">
        <f t="shared" si="5"/>
        <v>0.49116194743353297</v>
      </c>
      <c r="CS5" s="112" t="e">
        <f t="shared" ref="CS5:CS12" si="6">CS4+1</f>
        <v>#REF!</v>
      </c>
      <c r="CT5" s="126"/>
      <c r="CU5" s="102"/>
      <c r="CV5" s="102"/>
      <c r="CW5" s="102"/>
      <c r="CX5" s="102"/>
      <c r="CY5" s="114"/>
      <c r="CZ5" s="114"/>
      <c r="DA5" s="114"/>
      <c r="DB5" s="114"/>
      <c r="DC5" s="115"/>
      <c r="DD5" s="116"/>
      <c r="DE5" s="116"/>
      <c r="DF5" s="116"/>
      <c r="DG5" s="117"/>
      <c r="DH5" s="118"/>
      <c r="DI5" s="118"/>
      <c r="DJ5" s="118"/>
      <c r="DK5" s="119"/>
      <c r="DL5" s="120"/>
      <c r="DM5" s="96"/>
      <c r="DN5" s="121"/>
      <c r="DO5" s="96"/>
      <c r="DP5" s="96"/>
      <c r="DQ5" s="120"/>
      <c r="DR5" s="121"/>
      <c r="DS5" s="120"/>
      <c r="DT5" s="120"/>
      <c r="DU5" s="114"/>
      <c r="DV5" s="114"/>
      <c r="DW5" s="114"/>
      <c r="DX5" s="114"/>
      <c r="DY5" s="114"/>
      <c r="DZ5" s="114"/>
      <c r="EA5" s="114"/>
      <c r="EB5" s="114"/>
      <c r="EC5" s="114"/>
      <c r="ED5" s="114"/>
    </row>
    <row r="6" spans="1:134" ht="15.5">
      <c r="A6" s="80">
        <v>45930</v>
      </c>
      <c r="B6" s="81">
        <f>[2]Performancedata!B6</f>
        <v>1.085396</v>
      </c>
      <c r="C6" s="82">
        <v>3.3316831683168235E-2</v>
      </c>
      <c r="D6" s="82">
        <v>8.5395999999999805E-2</v>
      </c>
      <c r="E6" s="82">
        <v>8.5395999999999805E-2</v>
      </c>
      <c r="F6" s="82">
        <v>8.5395999999999805E-2</v>
      </c>
      <c r="G6" s="82">
        <v>8.5395999999999805E-2</v>
      </c>
      <c r="H6" s="83">
        <v>0.38913337687433036</v>
      </c>
      <c r="I6" s="82">
        <v>1.785931083546154E-2</v>
      </c>
      <c r="J6" s="84" t="s">
        <v>289</v>
      </c>
      <c r="K6" s="85" t="s">
        <v>289</v>
      </c>
      <c r="L6" s="84">
        <v>16.510935992589282</v>
      </c>
      <c r="M6" s="82">
        <v>3.3316831683168235E-2</v>
      </c>
      <c r="N6" s="82">
        <v>2.3183323592441019E-2</v>
      </c>
      <c r="O6" s="83">
        <v>1.3185233257693494</v>
      </c>
      <c r="P6" s="85" t="s">
        <v>49</v>
      </c>
      <c r="Q6" s="86">
        <v>0.20890564111570906</v>
      </c>
      <c r="R6" s="83">
        <v>452.79</v>
      </c>
      <c r="S6" s="82">
        <v>2.334674320842578E-2</v>
      </c>
      <c r="T6" s="82">
        <v>6.4211342750370548E-2</v>
      </c>
      <c r="U6" s="83"/>
      <c r="V6" s="122">
        <v>0.2800595967143622</v>
      </c>
      <c r="W6" s="82">
        <v>1.1992114367601036E-2</v>
      </c>
      <c r="X6" s="84" t="s">
        <v>289</v>
      </c>
      <c r="Y6" s="84" t="s">
        <v>289</v>
      </c>
      <c r="Z6" s="84">
        <v>5.2355296526919464</v>
      </c>
      <c r="AA6" s="83">
        <v>3.1659106399981152E-2</v>
      </c>
      <c r="AB6" s="83">
        <v>8.0193192691484505E-3</v>
      </c>
      <c r="AC6" s="83"/>
      <c r="AD6" s="82">
        <v>0</v>
      </c>
      <c r="AE6" s="82">
        <v>3.5999999999999997E-2</v>
      </c>
      <c r="AF6" s="83">
        <v>2.9516094330215292E-3</v>
      </c>
      <c r="AG6" s="83">
        <v>3.0365222250146706E-2</v>
      </c>
      <c r="AH6" s="82">
        <v>4.9976686803741455E-2</v>
      </c>
      <c r="AI6" s="82" t="s">
        <v>289</v>
      </c>
      <c r="AJ6" s="82">
        <v>0</v>
      </c>
      <c r="AK6" s="82">
        <v>0</v>
      </c>
      <c r="AL6" s="82">
        <v>0</v>
      </c>
      <c r="AM6" s="82">
        <v>2.4681287400364054E-2</v>
      </c>
      <c r="AN6" s="82">
        <v>5.178294409575273E-3</v>
      </c>
      <c r="AO6" s="83">
        <v>16.510935992589282</v>
      </c>
      <c r="AP6" s="83">
        <v>0.48592792337012564</v>
      </c>
      <c r="AQ6" s="83">
        <v>0.2361259467108027</v>
      </c>
      <c r="AR6" s="82">
        <v>3.6382074370492672E-2</v>
      </c>
      <c r="AS6" s="82">
        <v>2.2071293894484976</v>
      </c>
      <c r="AT6" s="82"/>
      <c r="AU6" s="82"/>
      <c r="AV6" s="82">
        <v>2.0395133775404251E-2</v>
      </c>
      <c r="AW6" s="82">
        <v>-3.5419313196258351E-2</v>
      </c>
      <c r="AX6" s="82" t="s">
        <v>289</v>
      </c>
      <c r="AY6" s="83">
        <v>0</v>
      </c>
      <c r="AZ6" s="87">
        <v>0</v>
      </c>
      <c r="BA6" s="88">
        <v>0</v>
      </c>
      <c r="BB6" s="89">
        <v>4.1596148171663523E-4</v>
      </c>
      <c r="BC6" s="83">
        <v>1.1902881671857095E-2</v>
      </c>
      <c r="BD6" s="83">
        <v>4.1232791624273735E-2</v>
      </c>
      <c r="BE6" s="88"/>
      <c r="BF6" s="88"/>
      <c r="BG6" s="88"/>
      <c r="BH6" s="88"/>
      <c r="BI6" s="90">
        <v>0.64644687379893429</v>
      </c>
      <c r="BJ6" s="91">
        <v>0.68193714799267047</v>
      </c>
      <c r="BK6" s="90">
        <v>17156638</v>
      </c>
      <c r="BL6" s="90">
        <v>7772590</v>
      </c>
      <c r="BM6" s="92">
        <v>4351270</v>
      </c>
      <c r="BN6" s="92">
        <v>11090855</v>
      </c>
      <c r="BO6" s="92">
        <v>12123860</v>
      </c>
      <c r="BP6" s="63">
        <v>3421320</v>
      </c>
      <c r="BQ6" s="123">
        <v>0.45303689452444007</v>
      </c>
      <c r="BR6" s="94">
        <v>-0.25362020227972404</v>
      </c>
      <c r="BS6" s="125">
        <v>0.70665709680416411</v>
      </c>
      <c r="BT6" s="63">
        <v>0.199416692244716</v>
      </c>
      <c r="BU6" s="96">
        <v>0.4779942503678476</v>
      </c>
      <c r="BV6" s="96">
        <v>0.2346294456126948</v>
      </c>
      <c r="BW6" s="96"/>
      <c r="BX6" s="96"/>
      <c r="BY6" s="96"/>
      <c r="BZ6" s="96"/>
      <c r="CA6" s="97" t="s">
        <v>293</v>
      </c>
      <c r="CB6" s="98" t="str">
        <f t="shared" ref="CB6:CB12" si="7">CA6&amp;"-NYS"</f>
        <v>AAPL-NYS</v>
      </c>
      <c r="CC6" s="99">
        <v>3.7395</v>
      </c>
      <c r="CD6" s="100" t="e">
        <f ca="1">_xll.fdsb(CB6,"FREF_MARKET_VALUE_COMPANY(NOW,,,AUD,,0,,""LEGACY"")")</f>
        <v>#NAME?</v>
      </c>
      <c r="CE6" s="101" t="e">
        <f ca="1">_xll.fdsb(CB6,"P_VOLUME_AVG(-1AY,NOW)")</f>
        <v>#NAME?</v>
      </c>
      <c r="CF6" s="100" t="e">
        <f ca="1">_xll.fdsb(CB6,"FG_PRICE(NOW,NOW,,AUD)")</f>
        <v>#NAME?</v>
      </c>
      <c r="CG6" s="100" t="str">
        <f t="shared" ca="1" si="0"/>
        <v/>
      </c>
      <c r="CI6" s="103" t="s">
        <v>105</v>
      </c>
      <c r="CJ6" s="104">
        <f t="shared" si="1"/>
        <v>3.7394999999999998E-2</v>
      </c>
      <c r="CK6" s="105">
        <v>2804421.70724648</v>
      </c>
      <c r="CL6" s="106">
        <v>156.68860000000001</v>
      </c>
      <c r="CM6" s="107">
        <v>166.69901999999999</v>
      </c>
      <c r="CN6" s="108">
        <v>26119.836065172</v>
      </c>
      <c r="CO6" s="109">
        <f t="shared" si="2"/>
        <v>976.75126965710683</v>
      </c>
      <c r="CP6" s="110">
        <f t="shared" si="3"/>
        <v>3.7394999999999998E-2</v>
      </c>
      <c r="CQ6" s="111">
        <f t="shared" si="4"/>
        <v>11.218499999999999</v>
      </c>
      <c r="CR6" s="111">
        <f t="shared" si="5"/>
        <v>4.2950116424959748E-4</v>
      </c>
      <c r="CS6" s="112" t="e">
        <f t="shared" si="6"/>
        <v>#REF!</v>
      </c>
      <c r="CT6" s="126" t="s">
        <v>106</v>
      </c>
      <c r="CU6" s="102"/>
      <c r="CV6" s="102"/>
      <c r="CW6" s="102" t="s">
        <v>107</v>
      </c>
      <c r="CX6" s="102" t="s">
        <v>108</v>
      </c>
      <c r="CY6" s="114" t="s">
        <v>109</v>
      </c>
      <c r="CZ6" s="114" t="s">
        <v>110</v>
      </c>
      <c r="DA6" s="114" t="s">
        <v>111</v>
      </c>
      <c r="DB6" s="114" t="s">
        <v>112</v>
      </c>
      <c r="DC6" s="115" t="s">
        <v>113</v>
      </c>
      <c r="DD6" s="116" t="s">
        <v>114</v>
      </c>
      <c r="DE6" s="116" t="s">
        <v>115</v>
      </c>
      <c r="DF6" s="116" t="s">
        <v>116</v>
      </c>
      <c r="DG6" s="117" t="s">
        <v>117</v>
      </c>
      <c r="DH6" s="118" t="s">
        <v>118</v>
      </c>
      <c r="DI6" s="118" t="s">
        <v>119</v>
      </c>
      <c r="DJ6" s="118" t="s">
        <v>120</v>
      </c>
      <c r="DK6" s="119" t="s">
        <v>121</v>
      </c>
      <c r="DL6" s="120" t="s">
        <v>122</v>
      </c>
      <c r="DM6" s="96" t="s">
        <v>123</v>
      </c>
      <c r="DN6" s="121" t="s">
        <v>124</v>
      </c>
      <c r="DO6" s="96" t="s">
        <v>125</v>
      </c>
      <c r="DP6" s="96" t="s">
        <v>126</v>
      </c>
      <c r="DQ6" s="120" t="s">
        <v>127</v>
      </c>
      <c r="DR6" s="121" t="s">
        <v>128</v>
      </c>
      <c r="DS6" s="120" t="s">
        <v>129</v>
      </c>
      <c r="DT6" s="120" t="s">
        <v>130</v>
      </c>
      <c r="DU6" s="114" t="s">
        <v>131</v>
      </c>
      <c r="DV6" s="114"/>
      <c r="DW6" s="114"/>
      <c r="DX6" s="114"/>
      <c r="DY6" s="114"/>
      <c r="DZ6" s="114"/>
      <c r="EA6" s="114"/>
      <c r="EB6" s="114"/>
      <c r="EC6" s="114"/>
      <c r="ED6" s="114"/>
    </row>
    <row r="7" spans="1:134" ht="15.5">
      <c r="A7" s="80">
        <v>45961</v>
      </c>
      <c r="B7" s="81">
        <f>[2]Performancedata!B7</f>
        <v>1.1200237411717677</v>
      </c>
      <c r="C7" s="82">
        <f>B7/B6-1</f>
        <v>3.1903324843437497E-2</v>
      </c>
      <c r="D7" s="82">
        <f>((1+C7)*(1+D6))-1</f>
        <v>0.12002374117176751</v>
      </c>
      <c r="E7" s="82">
        <f t="shared" ref="E5:G7" si="8">D7</f>
        <v>0.12002374117176751</v>
      </c>
      <c r="F7" s="82">
        <f t="shared" si="8"/>
        <v>0.12002374117176751</v>
      </c>
      <c r="G7" s="82">
        <f t="shared" si="8"/>
        <v>0.12002374117176751</v>
      </c>
      <c r="H7" s="83">
        <f>((1+D7)^(365/(_xlfn.DAYS(A7,"1/07/2025"))))-1</f>
        <v>0.40371255294551722</v>
      </c>
      <c r="I7" s="82"/>
      <c r="J7" s="84" t="str">
        <f>IFERROR(SUMIF(C$4:C7,"&gt;0",C$4:C7)/ABS(SUMIF(C$4:C7,"&lt;0",C$4:C7)),"")</f>
        <v/>
      </c>
      <c r="K7" s="85"/>
      <c r="L7" s="84"/>
      <c r="M7" s="82">
        <f>MAX($C$4:C7)</f>
        <v>3.3316831683168235E-2</v>
      </c>
      <c r="N7" s="82">
        <f>MIN($C$4:C7)</f>
        <v>2.3183323592441019E-2</v>
      </c>
      <c r="O7" s="83">
        <f>AVERAGEIF($S$4:S7,"&gt;0",$C$4:C7)/(AVERAGEIF($S$4:S7,"&gt;0",$S$4:S7))</f>
        <v>1.3185233257693494</v>
      </c>
      <c r="P7" s="85" t="str">
        <f>IFERROR(AVERAGEIF($S$4:S7,"&lt;0",$C$4:C7)/(AVERAGEIF($S$4:S7,"&lt;0",$S$4:S7)),"-")</f>
        <v>-</v>
      </c>
      <c r="Q7" s="86">
        <f>IFERROR(COVAR($C$4:C7,$S$4:S7)/VAR($S$4:S7),"")</f>
        <v>-7.4464894446127639E-3</v>
      </c>
      <c r="R7" s="83"/>
      <c r="S7" s="82">
        <f>[1]Monthly!$F$43</f>
        <v>0</v>
      </c>
      <c r="T7" s="82">
        <f>((1+S7)*(1+T6))-1</f>
        <v>6.4211342750370548E-2</v>
      </c>
      <c r="U7" s="83"/>
      <c r="V7" s="122">
        <f>((1+T7)^(365/(_xlfn.DAYS(A7,"30/06/2025"))))-1</f>
        <v>0.20283122833569345</v>
      </c>
      <c r="W7" s="82">
        <f>IFERROR(STDEV(S6:S7),"")</f>
        <v>1.6508640441298843E-2</v>
      </c>
      <c r="X7" s="84" t="str">
        <f>IFERROR(SUMIF(S$4:S7,"&gt;0",S$4:S7)/ABS(SUMIF(S$4:S7,"&lt;0",S$4:S7)),"")</f>
        <v/>
      </c>
      <c r="Y7" s="84"/>
      <c r="Z7" s="84"/>
      <c r="AA7" s="83"/>
      <c r="AB7" s="83"/>
      <c r="AC7" s="83"/>
      <c r="AD7" s="82">
        <v>0</v>
      </c>
      <c r="AE7" s="82"/>
      <c r="AF7" s="83"/>
      <c r="AG7" s="83"/>
      <c r="AH7" s="82"/>
      <c r="AI7" s="82"/>
      <c r="AJ7" s="82"/>
      <c r="AK7" s="82"/>
      <c r="AL7" s="82"/>
      <c r="AM7" s="82"/>
      <c r="AN7" s="82"/>
      <c r="AO7" s="83"/>
      <c r="AP7" s="83"/>
      <c r="AQ7" s="83"/>
      <c r="AR7" s="82"/>
      <c r="AS7" s="82"/>
      <c r="AT7" s="82"/>
      <c r="AU7" s="82"/>
      <c r="AV7" s="82"/>
      <c r="AW7" s="82"/>
      <c r="AX7" s="82"/>
      <c r="AY7" s="83"/>
      <c r="AZ7" s="87"/>
      <c r="BA7" s="88"/>
      <c r="BB7" s="89"/>
      <c r="BC7" s="83"/>
      <c r="BD7" s="83"/>
      <c r="BE7" s="88"/>
      <c r="BF7" s="88"/>
      <c r="BG7" s="88"/>
      <c r="BH7" s="88"/>
      <c r="BI7" s="90"/>
      <c r="BJ7" s="91"/>
      <c r="BK7" s="90"/>
      <c r="BL7" s="90"/>
      <c r="BM7" s="92"/>
      <c r="BN7" s="92"/>
      <c r="BO7" s="92"/>
      <c r="BQ7" s="123" t="s">
        <v>132</v>
      </c>
      <c r="BR7" s="94">
        <f>BS7/$BS$14</f>
        <v>4.8742593760510919E-2</v>
      </c>
      <c r="BS7" s="125">
        <v>765000</v>
      </c>
      <c r="BU7" s="96"/>
      <c r="BV7" s="96"/>
      <c r="BW7" s="96"/>
      <c r="BX7" s="96"/>
      <c r="BY7" s="96"/>
      <c r="BZ7" s="96"/>
      <c r="CA7" s="97" t="s">
        <v>159</v>
      </c>
      <c r="CB7" s="98" t="str">
        <f t="shared" si="7"/>
        <v>BABA-NYS</v>
      </c>
      <c r="CC7" s="99">
        <v>3.6438000000000001</v>
      </c>
      <c r="CD7" s="100" t="e">
        <f ca="1">_xll.fdsb(CB7,"FREF_MARKET_VALUE_COMPANY(NOW,,,AUD,,0,,""LEGACY"")")</f>
        <v>#NAME?</v>
      </c>
      <c r="CE7" s="101" t="e">
        <f ca="1">_xll.fdsb(CB7,"P_VOLUME_AVG(-1AY,NOW)")</f>
        <v>#NAME?</v>
      </c>
      <c r="CF7" s="100" t="e">
        <f ca="1">_xll.fdsb(CB7,"FG_PRICE(NOW,NOW,,AUD)")</f>
        <v>#NAME?</v>
      </c>
      <c r="CG7" s="100" t="str">
        <f t="shared" ca="1" si="0"/>
        <v/>
      </c>
      <c r="CI7" s="128" t="s">
        <v>133</v>
      </c>
      <c r="CJ7" s="104">
        <f t="shared" si="1"/>
        <v>3.6437999999999998E-2</v>
      </c>
      <c r="CK7" s="105">
        <v>794690.29512006301</v>
      </c>
      <c r="CL7" s="106">
        <v>18.919955999999999</v>
      </c>
      <c r="CM7" s="107">
        <v>291.98214999999999</v>
      </c>
      <c r="CN7" s="108">
        <v>5524.2894307854003</v>
      </c>
      <c r="CO7" s="109">
        <f t="shared" si="2"/>
        <v>201.2940582789584</v>
      </c>
      <c r="CP7" s="110">
        <f t="shared" si="3"/>
        <v>3.6437999999999998E-2</v>
      </c>
      <c r="CQ7" s="111">
        <f t="shared" si="4"/>
        <v>10.9314</v>
      </c>
      <c r="CR7" s="111">
        <f t="shared" si="5"/>
        <v>1.9787884282605117E-3</v>
      </c>
      <c r="CS7" s="112" t="e">
        <f t="shared" si="6"/>
        <v>#REF!</v>
      </c>
      <c r="CT7" s="126">
        <v>1</v>
      </c>
      <c r="CU7" s="102" t="s">
        <v>134</v>
      </c>
      <c r="CV7" s="102" t="s">
        <v>135</v>
      </c>
      <c r="CW7" s="102" t="s">
        <v>136</v>
      </c>
      <c r="CX7" s="129">
        <v>5.2453E-2</v>
      </c>
      <c r="CY7" s="114">
        <v>50783.93</v>
      </c>
      <c r="CZ7" s="114">
        <v>98184.81168354</v>
      </c>
      <c r="DA7" s="114">
        <v>98184.81168354</v>
      </c>
      <c r="DB7" s="114">
        <v>140.44</v>
      </c>
      <c r="DC7" s="115">
        <v>7.6449999999999996</v>
      </c>
      <c r="DD7" s="116">
        <v>6.0104879999999996</v>
      </c>
      <c r="DE7" s="116">
        <v>7.9300556000000002</v>
      </c>
      <c r="DF7" s="116">
        <v>8.9862929999999999</v>
      </c>
      <c r="DG7" s="117">
        <v>-0.213801438848921</v>
      </c>
      <c r="DH7" s="118" t="s">
        <v>137</v>
      </c>
      <c r="DI7" s="118" t="s">
        <v>137</v>
      </c>
      <c r="DJ7" s="118" t="s">
        <v>137</v>
      </c>
      <c r="DK7" s="119" t="s">
        <v>137</v>
      </c>
      <c r="DL7" s="120" t="s">
        <v>137</v>
      </c>
      <c r="DM7" s="96">
        <v>23.365823207699599</v>
      </c>
      <c r="DN7" s="121">
        <v>0.31936967514118703</v>
      </c>
      <c r="DO7" s="96">
        <v>1.0490005891276499</v>
      </c>
      <c r="DP7" s="96" t="s">
        <v>137</v>
      </c>
      <c r="DQ7" s="120" t="s">
        <v>137</v>
      </c>
      <c r="DR7" s="121" t="s">
        <v>137</v>
      </c>
      <c r="DS7" s="120">
        <v>0.13579229342674601</v>
      </c>
      <c r="DT7" s="120">
        <v>2.6476340000000001E-2</v>
      </c>
      <c r="DU7" s="114" t="s">
        <v>138</v>
      </c>
      <c r="DV7" s="114" t="s">
        <v>139</v>
      </c>
      <c r="DW7" s="114"/>
      <c r="DX7" s="114" t="s">
        <v>140</v>
      </c>
      <c r="DY7" s="114"/>
      <c r="DZ7" s="114"/>
      <c r="EA7" s="114"/>
      <c r="EB7" s="114"/>
      <c r="EC7" s="114"/>
      <c r="ED7" s="114"/>
    </row>
    <row r="8" spans="1:134" ht="15.5">
      <c r="C8" s="127"/>
      <c r="D8" s="127"/>
      <c r="E8" s="127"/>
      <c r="F8" s="127"/>
      <c r="G8" s="127"/>
      <c r="H8" s="127"/>
      <c r="I8" s="127"/>
      <c r="J8" s="127"/>
      <c r="K8" s="127"/>
      <c r="L8" s="127"/>
      <c r="P8" s="111"/>
      <c r="R8" s="127"/>
      <c r="S8" s="130"/>
      <c r="T8" s="130"/>
      <c r="U8" s="130"/>
      <c r="V8" s="130"/>
      <c r="W8" s="130"/>
      <c r="X8" s="127"/>
      <c r="AC8" s="127"/>
      <c r="AD8" s="130"/>
      <c r="AE8" s="130"/>
      <c r="AG8" s="127"/>
      <c r="AH8" s="131"/>
      <c r="AI8" s="131"/>
      <c r="AJ8" s="131"/>
      <c r="AK8" s="131"/>
      <c r="AL8" s="131"/>
      <c r="AM8" s="131"/>
      <c r="AN8" s="131"/>
      <c r="AO8" s="127"/>
      <c r="AP8" s="131"/>
      <c r="AY8" s="127"/>
      <c r="BE8" s="65"/>
      <c r="BF8" s="132"/>
      <c r="BG8" s="132"/>
      <c r="BH8" s="132"/>
      <c r="BJ8" s="133"/>
      <c r="BK8" s="91"/>
      <c r="BL8" s="91"/>
      <c r="BM8" s="91"/>
      <c r="BQ8" s="93" t="s">
        <v>141</v>
      </c>
      <c r="BR8" s="94">
        <v>0.14000000000000001</v>
      </c>
      <c r="BS8" s="95">
        <v>1411590.21407</v>
      </c>
      <c r="BU8" s="96"/>
      <c r="BV8" s="96"/>
      <c r="BW8" s="96"/>
      <c r="BX8" s="96"/>
      <c r="BY8" s="96"/>
      <c r="BZ8" s="96"/>
      <c r="CA8" s="97" t="s">
        <v>197</v>
      </c>
      <c r="CB8" s="98" t="str">
        <f t="shared" si="7"/>
        <v>CAT-NYS</v>
      </c>
      <c r="CC8" s="99">
        <v>4.5597000000000003</v>
      </c>
      <c r="CD8" s="100" t="e">
        <f ca="1">_xll.fdsb(CB8,"FREF_MARKET_VALUE_COMPANY(NOW,,,AUD,,0,,""LEGACY"")")</f>
        <v>#NAME?</v>
      </c>
      <c r="CE8" s="101" t="e">
        <f ca="1">_xll.fdsb(CB8,"P_VOLUME_AVG(-1AY,NOW)")</f>
        <v>#NAME?</v>
      </c>
      <c r="CF8" s="100" t="e">
        <f ca="1">_xll.fdsb(CB8,"FG_PRICE(NOW,NOW,,AUD)")</f>
        <v>#NAME?</v>
      </c>
      <c r="CG8" s="100" t="str">
        <f t="shared" ca="1" si="0"/>
        <v/>
      </c>
      <c r="CI8" s="128" t="s">
        <v>142</v>
      </c>
      <c r="CJ8" s="104">
        <f t="shared" si="1"/>
        <v>4.5597000000000006E-2</v>
      </c>
      <c r="CK8" s="134">
        <v>138892.433604953</v>
      </c>
      <c r="CL8" s="106">
        <v>3.9059089999999999</v>
      </c>
      <c r="CM8" s="107">
        <v>255.66553999999999</v>
      </c>
      <c r="CN8" s="108">
        <v>998.60633367586001</v>
      </c>
      <c r="CO8" s="109">
        <f t="shared" si="2"/>
        <v>45.533452996618195</v>
      </c>
      <c r="CP8" s="110">
        <f t="shared" si="3"/>
        <v>4.5597000000000006E-2</v>
      </c>
      <c r="CQ8" s="111">
        <f t="shared" si="4"/>
        <v>13.679100000000002</v>
      </c>
      <c r="CR8" s="111">
        <f t="shared" si="5"/>
        <v>1.369819070709012E-2</v>
      </c>
      <c r="CS8" s="112" t="e">
        <f t="shared" si="6"/>
        <v>#REF!</v>
      </c>
      <c r="CT8" s="126">
        <v>2</v>
      </c>
      <c r="CU8" s="102" t="s">
        <v>143</v>
      </c>
      <c r="CV8" s="102" t="s">
        <v>144</v>
      </c>
      <c r="CW8" s="102" t="s">
        <v>145</v>
      </c>
      <c r="CX8" s="129">
        <v>5.1018000000000001E-2</v>
      </c>
      <c r="CY8" s="114">
        <v>37962.035000000003</v>
      </c>
      <c r="CZ8" s="114">
        <v>35153.916590000001</v>
      </c>
      <c r="DA8" s="114">
        <v>35153.916590000001</v>
      </c>
      <c r="DB8" s="114">
        <v>47.73</v>
      </c>
      <c r="DC8" s="115">
        <v>2.37</v>
      </c>
      <c r="DD8" s="116">
        <v>-0.40596995000000002</v>
      </c>
      <c r="DE8" s="116">
        <v>0.8453039</v>
      </c>
      <c r="DF8" s="116">
        <v>1.137067</v>
      </c>
      <c r="DG8" s="117">
        <v>-1.17129533755274</v>
      </c>
      <c r="DH8" s="118">
        <v>1209.73</v>
      </c>
      <c r="DI8" s="118">
        <v>1029.4495999999999</v>
      </c>
      <c r="DJ8" s="118">
        <v>1348.0758000000001</v>
      </c>
      <c r="DK8" s="119">
        <v>-0.149025319699437</v>
      </c>
      <c r="DL8" s="120">
        <v>3.3901236778237499E-3</v>
      </c>
      <c r="DM8" s="96" t="s">
        <v>137</v>
      </c>
      <c r="DN8" s="121" t="s">
        <v>137</v>
      </c>
      <c r="DO8" s="96" t="s">
        <v>137</v>
      </c>
      <c r="DP8" s="96">
        <v>33.160544999999999</v>
      </c>
      <c r="DQ8" s="120">
        <v>0.28641545266846802</v>
      </c>
      <c r="DR8" s="121">
        <v>0.309511218421961</v>
      </c>
      <c r="DS8" s="120">
        <v>0.18899560154171699</v>
      </c>
      <c r="DT8" s="120">
        <v>-5.1875233999999999E-2</v>
      </c>
      <c r="DU8" s="114" t="s">
        <v>146</v>
      </c>
      <c r="DV8" s="114" t="s">
        <v>146</v>
      </c>
      <c r="DW8" s="114" t="s">
        <v>147</v>
      </c>
      <c r="DX8" s="114" t="s">
        <v>148</v>
      </c>
      <c r="DY8" s="114"/>
      <c r="DZ8" s="114"/>
      <c r="EA8" s="114"/>
      <c r="EB8" s="114"/>
      <c r="EC8" s="114"/>
      <c r="ED8" s="114"/>
    </row>
    <row r="9" spans="1:134" ht="15.5">
      <c r="C9" s="127"/>
      <c r="D9" s="127"/>
      <c r="E9" s="127"/>
      <c r="F9" s="127"/>
      <c r="G9" s="127"/>
      <c r="H9" s="127"/>
      <c r="I9" s="127"/>
      <c r="J9" s="127"/>
      <c r="K9" s="127"/>
      <c r="L9" s="127"/>
      <c r="R9" s="127"/>
      <c r="S9" s="130"/>
      <c r="T9" s="130"/>
      <c r="U9" s="130"/>
      <c r="V9" s="130"/>
      <c r="W9" s="130"/>
      <c r="X9" s="127"/>
      <c r="AC9" s="127"/>
      <c r="AD9" s="130"/>
      <c r="AE9" s="130"/>
      <c r="AG9" s="127"/>
      <c r="AH9" s="131"/>
      <c r="AI9" s="131"/>
      <c r="AJ9" s="131"/>
      <c r="AK9" s="131"/>
      <c r="AL9" s="131"/>
      <c r="AM9" s="131"/>
      <c r="AN9" s="131"/>
      <c r="AO9" s="127"/>
      <c r="AP9" s="131"/>
      <c r="AY9" s="127"/>
      <c r="BE9" s="65"/>
      <c r="BF9" s="132"/>
      <c r="BG9" s="132"/>
      <c r="BH9" s="132"/>
      <c r="BJ9" s="133"/>
      <c r="BK9" s="91"/>
      <c r="BL9" s="91"/>
      <c r="BM9" s="91"/>
      <c r="BQ9" s="93" t="s">
        <v>149</v>
      </c>
      <c r="BR9" s="94">
        <v>0.25</v>
      </c>
      <c r="BS9" s="95">
        <v>3030428.1345500001</v>
      </c>
      <c r="BU9" s="96"/>
      <c r="BV9" s="96"/>
      <c r="BW9" s="96"/>
      <c r="BX9" s="96"/>
      <c r="BY9" s="96"/>
      <c r="BZ9" s="96"/>
      <c r="CA9" s="97" t="s">
        <v>294</v>
      </c>
      <c r="CB9" s="98" t="str">
        <f t="shared" si="7"/>
        <v>SLB-NYS</v>
      </c>
      <c r="CC9" s="99">
        <v>3.8279999999999998</v>
      </c>
      <c r="CD9" s="100" t="e">
        <f ca="1">_xll.fdsb(CB9,"FREF_MARKET_VALUE_COMPANY(NOW,,,AUD,,0,,""LEGACY"")")</f>
        <v>#NAME?</v>
      </c>
      <c r="CE9" s="101" t="e">
        <f ca="1">_xll.fdsb(CB9,"P_VOLUME_AVG(-1AY,NOW)")</f>
        <v>#NAME?</v>
      </c>
      <c r="CF9" s="100" t="e">
        <f ca="1">_xll.fdsb(CB9,"FG_PRICE(NOW,NOW,,AUD)")</f>
        <v>#NAME?</v>
      </c>
      <c r="CG9" s="100" t="str">
        <f t="shared" ca="1" si="0"/>
        <v/>
      </c>
      <c r="CI9" s="128" t="s">
        <v>150</v>
      </c>
      <c r="CJ9" s="104">
        <f t="shared" si="1"/>
        <v>3.8280000000000002E-2</v>
      </c>
      <c r="CK9" s="105">
        <v>47094.626185624897</v>
      </c>
      <c r="CL9" s="106">
        <v>15.835369999999999</v>
      </c>
      <c r="CM9" s="107">
        <v>33.831614999999999</v>
      </c>
      <c r="CN9" s="108">
        <v>535.73614122255003</v>
      </c>
      <c r="CO9" s="109">
        <f t="shared" si="2"/>
        <v>20.507979485999215</v>
      </c>
      <c r="CP9" s="110">
        <f t="shared" si="3"/>
        <v>3.8280000000000002E-2</v>
      </c>
      <c r="CQ9" s="111">
        <f t="shared" si="4"/>
        <v>11.484</v>
      </c>
      <c r="CR9" s="111">
        <f t="shared" si="5"/>
        <v>2.1435925479646581E-2</v>
      </c>
      <c r="CS9" s="112" t="e">
        <f t="shared" si="6"/>
        <v>#REF!</v>
      </c>
      <c r="CT9" s="126">
        <v>3</v>
      </c>
      <c r="CU9" s="102" t="s">
        <v>151</v>
      </c>
      <c r="CV9" s="102" t="s">
        <v>152</v>
      </c>
      <c r="CW9" s="102" t="s">
        <v>153</v>
      </c>
      <c r="CX9" s="129">
        <v>4.8231999999999997E-2</v>
      </c>
      <c r="CY9" s="114">
        <v>551.47670000000005</v>
      </c>
      <c r="CZ9" s="114">
        <v>778.44823602999998</v>
      </c>
      <c r="DA9" s="114">
        <v>778.44823602999998</v>
      </c>
      <c r="DB9" s="114">
        <v>6.83</v>
      </c>
      <c r="DC9" s="115">
        <v>0.26</v>
      </c>
      <c r="DD9" s="116">
        <v>0.34616150000000001</v>
      </c>
      <c r="DE9" s="116">
        <v>0.43013600000000002</v>
      </c>
      <c r="DF9" s="116">
        <v>0.40200000000000002</v>
      </c>
      <c r="DG9" s="117">
        <v>0.331390384615385</v>
      </c>
      <c r="DH9" s="118">
        <v>34.720669999999998</v>
      </c>
      <c r="DI9" s="118">
        <v>42.2</v>
      </c>
      <c r="DJ9" s="118">
        <v>55.721977000000003</v>
      </c>
      <c r="DK9" s="119">
        <v>0.21541433388238199</v>
      </c>
      <c r="DL9" s="120" t="s">
        <v>137</v>
      </c>
      <c r="DM9" s="96">
        <v>19.7306748439673</v>
      </c>
      <c r="DN9" s="121">
        <v>0.242587636117824</v>
      </c>
      <c r="DO9" s="96">
        <v>2.5413075574606099</v>
      </c>
      <c r="DP9" s="96">
        <v>16.250630999999998</v>
      </c>
      <c r="DQ9" s="120" t="s">
        <v>137</v>
      </c>
      <c r="DR9" s="121">
        <v>0.32042599526066301</v>
      </c>
      <c r="DS9" s="120">
        <v>5.5345828671305497E-2</v>
      </c>
      <c r="DT9" s="120" t="s">
        <v>137</v>
      </c>
      <c r="DU9" s="114" t="s">
        <v>138</v>
      </c>
      <c r="DV9" s="114" t="s">
        <v>154</v>
      </c>
      <c r="DW9" s="114" t="s">
        <v>155</v>
      </c>
      <c r="DX9" s="114" t="s">
        <v>156</v>
      </c>
      <c r="DY9" s="114"/>
      <c r="DZ9" s="114"/>
      <c r="EA9" s="114"/>
      <c r="EB9" s="114"/>
      <c r="EC9" s="114"/>
      <c r="ED9" s="114"/>
    </row>
    <row r="10" spans="1:134" ht="15.5">
      <c r="C10" s="127"/>
      <c r="D10" s="127"/>
      <c r="E10" s="127"/>
      <c r="F10" s="127"/>
      <c r="G10" s="127"/>
      <c r="H10" s="127"/>
      <c r="I10" s="127"/>
      <c r="J10" s="127"/>
      <c r="K10" s="127"/>
      <c r="L10" s="127"/>
      <c r="R10" s="127"/>
      <c r="S10" s="130"/>
      <c r="T10" s="130"/>
      <c r="U10" s="130"/>
      <c r="V10" s="130"/>
      <c r="W10" s="130"/>
      <c r="X10" s="127"/>
      <c r="AC10" s="127"/>
      <c r="AD10" s="130"/>
      <c r="AE10" s="130"/>
      <c r="AG10" s="127"/>
      <c r="AO10" s="127"/>
      <c r="AY10" s="127"/>
      <c r="BE10" s="65"/>
      <c r="BF10" s="132"/>
      <c r="BG10" s="132"/>
      <c r="BH10" s="132"/>
      <c r="BJ10" s="133"/>
      <c r="BK10" s="91"/>
      <c r="BL10" s="91"/>
      <c r="BM10" s="91"/>
      <c r="BQ10" s="135" t="s">
        <v>157</v>
      </c>
      <c r="BR10" s="94">
        <v>0.54</v>
      </c>
      <c r="BS10" s="125">
        <v>10487672.2922324</v>
      </c>
      <c r="BU10" s="96"/>
      <c r="BV10" s="96"/>
      <c r="BW10" s="96"/>
      <c r="BX10" s="96"/>
      <c r="BY10" s="96"/>
      <c r="BZ10" s="96"/>
      <c r="CA10" s="97" t="s">
        <v>143</v>
      </c>
      <c r="CB10" s="98" t="str">
        <f t="shared" si="7"/>
        <v>TWTR-NYS</v>
      </c>
      <c r="CC10" s="99">
        <v>5.5955000000000004</v>
      </c>
      <c r="CD10" s="100" t="e">
        <f ca="1">_xll.fdsb(CB10,"FREF_MARKET_VALUE_COMPANY(NOW,,,AUD,,0,,""LEGACY"")")</f>
        <v>#NAME?</v>
      </c>
      <c r="CE10" s="101" t="e">
        <f ca="1">_xll.fdsb(CB10,"P_VOLUME_AVG(-1AY,NOW)")</f>
        <v>#NAME?</v>
      </c>
      <c r="CF10" s="100" t="e">
        <f ca="1">_xll.fdsb(CB10,"FG_PRICE(NOW,NOW,,AUD)")</f>
        <v>#NAME?</v>
      </c>
      <c r="CG10" s="100" t="str">
        <f t="shared" ca="1" si="0"/>
        <v/>
      </c>
      <c r="CI10" s="128" t="s">
        <v>158</v>
      </c>
      <c r="CJ10" s="104">
        <f t="shared" si="1"/>
        <v>5.5955000000000005E-2</v>
      </c>
      <c r="CK10" s="105">
        <v>48421.982684834402</v>
      </c>
      <c r="CL10" s="106">
        <v>19.870663</v>
      </c>
      <c r="CM10" s="107">
        <v>60.881382000000002</v>
      </c>
      <c r="CN10" s="108">
        <v>1209.75342469627</v>
      </c>
      <c r="CO10" s="109">
        <f t="shared" si="2"/>
        <v>67.691752878879797</v>
      </c>
      <c r="CP10" s="110">
        <f t="shared" si="3"/>
        <v>5.5955000000000005E-2</v>
      </c>
      <c r="CQ10" s="111">
        <f t="shared" si="4"/>
        <v>16.7865</v>
      </c>
      <c r="CR10" s="111">
        <f t="shared" si="5"/>
        <v>1.3875968157903373E-2</v>
      </c>
      <c r="CS10" s="112" t="e">
        <f t="shared" si="6"/>
        <v>#REF!</v>
      </c>
      <c r="CT10" s="126">
        <v>4</v>
      </c>
      <c r="CU10" s="102" t="s">
        <v>159</v>
      </c>
      <c r="CV10" s="102" t="s">
        <v>160</v>
      </c>
      <c r="CW10" s="102" t="s">
        <v>161</v>
      </c>
      <c r="CX10" s="129">
        <v>5.1200000000000002E-2</v>
      </c>
      <c r="CY10" s="114">
        <v>717169.75</v>
      </c>
      <c r="CZ10" s="114">
        <v>723830.95172030898</v>
      </c>
      <c r="DA10" s="114">
        <v>723830.95172030898</v>
      </c>
      <c r="DB10" s="114">
        <v>267.25</v>
      </c>
      <c r="DC10" s="115">
        <v>7.4189214999999997</v>
      </c>
      <c r="DD10" s="116">
        <v>10.15762</v>
      </c>
      <c r="DE10" s="116">
        <v>12.35188</v>
      </c>
      <c r="DF10" s="116">
        <v>15.349785000000001</v>
      </c>
      <c r="DG10" s="117">
        <v>0.36915048905693398</v>
      </c>
      <c r="DH10" s="118">
        <v>21985.258000000002</v>
      </c>
      <c r="DI10" s="118">
        <v>32521.266</v>
      </c>
      <c r="DJ10" s="118">
        <v>41030.504000000001</v>
      </c>
      <c r="DK10" s="119">
        <v>0.47923058260221502</v>
      </c>
      <c r="DL10" s="120">
        <v>4.32903759165413E-2</v>
      </c>
      <c r="DM10" s="96">
        <v>26.310297097154699</v>
      </c>
      <c r="DN10" s="121">
        <v>0.21602107580318999</v>
      </c>
      <c r="DO10" s="96">
        <v>1.14745654636247</v>
      </c>
      <c r="DP10" s="96">
        <v>20.678830000000001</v>
      </c>
      <c r="DQ10" s="120">
        <v>0.30667264271557299</v>
      </c>
      <c r="DR10" s="121">
        <v>0.26165149905295798</v>
      </c>
      <c r="DS10" s="120">
        <v>0.23836720269700601</v>
      </c>
      <c r="DT10" s="120">
        <v>0.14281477000000001</v>
      </c>
      <c r="DU10" s="114" t="s">
        <v>162</v>
      </c>
      <c r="DV10" s="114" t="s">
        <v>146</v>
      </c>
      <c r="DW10" s="114" t="s">
        <v>163</v>
      </c>
      <c r="DX10" s="114" t="s">
        <v>164</v>
      </c>
      <c r="DY10" s="114"/>
      <c r="DZ10" s="114"/>
      <c r="EA10" s="114"/>
      <c r="EB10" s="114"/>
    </row>
    <row r="11" spans="1:134" ht="15.5">
      <c r="C11" s="127"/>
      <c r="I11" s="127"/>
      <c r="J11" s="127"/>
      <c r="K11" s="127"/>
      <c r="L11" s="127"/>
      <c r="R11" s="127"/>
      <c r="S11" s="130"/>
      <c r="T11" s="130"/>
      <c r="U11" s="130"/>
      <c r="V11" s="130"/>
      <c r="W11" s="130"/>
      <c r="X11" s="127"/>
      <c r="AC11" s="127"/>
      <c r="AD11" s="130"/>
      <c r="AE11" s="130"/>
      <c r="AG11" s="127"/>
      <c r="AO11" s="127"/>
      <c r="AY11" s="127"/>
      <c r="BE11" s="65"/>
      <c r="BF11" s="132"/>
      <c r="BG11" s="132"/>
      <c r="BH11" s="132"/>
      <c r="BJ11" s="133"/>
      <c r="BK11" s="91"/>
      <c r="BL11" s="91"/>
      <c r="BM11" s="91"/>
      <c r="BQ11" s="93"/>
      <c r="BR11" s="94"/>
      <c r="BS11" s="95"/>
      <c r="BU11" s="96"/>
      <c r="BV11" s="96"/>
      <c r="BW11" s="96"/>
      <c r="BX11" s="96"/>
      <c r="BY11" s="96"/>
      <c r="BZ11" s="96"/>
      <c r="CB11" s="98" t="str">
        <f t="shared" si="7"/>
        <v>-NYS</v>
      </c>
      <c r="CI11" s="128"/>
      <c r="CJ11" s="104"/>
      <c r="CK11" s="105"/>
      <c r="CL11" s="106"/>
      <c r="CM11" s="107"/>
      <c r="CN11" s="108"/>
      <c r="CO11" s="128"/>
      <c r="CP11" s="110">
        <f t="shared" si="3"/>
        <v>0</v>
      </c>
      <c r="CQ11" s="111">
        <f t="shared" si="4"/>
        <v>0</v>
      </c>
      <c r="CR11" s="111" t="e">
        <f t="shared" si="5"/>
        <v>#DIV/0!</v>
      </c>
      <c r="CS11" s="112" t="e">
        <f t="shared" si="6"/>
        <v>#REF!</v>
      </c>
      <c r="CT11" s="126">
        <v>5</v>
      </c>
      <c r="CU11" s="102" t="s">
        <v>165</v>
      </c>
      <c r="CV11" s="102" t="s">
        <v>166</v>
      </c>
      <c r="CW11" s="102" t="s">
        <v>167</v>
      </c>
      <c r="CX11" s="129">
        <v>4.6931E-2</v>
      </c>
      <c r="CY11" s="114">
        <v>1243.7737999999999</v>
      </c>
      <c r="CZ11" s="114">
        <v>1305.9978000000001</v>
      </c>
      <c r="DA11" s="114">
        <v>1305.9978000000001</v>
      </c>
      <c r="DB11" s="114">
        <v>2.895</v>
      </c>
      <c r="DC11" s="115">
        <v>0.21840999999999999</v>
      </c>
      <c r="DD11" s="116">
        <v>0.23694435</v>
      </c>
      <c r="DE11" s="116">
        <v>0.253224</v>
      </c>
      <c r="DF11" s="116">
        <v>0.23204422999999999</v>
      </c>
      <c r="DG11" s="117">
        <v>8.4860354379378306E-2</v>
      </c>
      <c r="DH11" s="118">
        <v>237.68733</v>
      </c>
      <c r="DI11" s="118">
        <v>289.79962</v>
      </c>
      <c r="DJ11" s="118">
        <v>301.67307</v>
      </c>
      <c r="DK11" s="119">
        <v>0.21924723543320501</v>
      </c>
      <c r="DL11" s="120">
        <v>0.121158963667473</v>
      </c>
      <c r="DM11" s="96">
        <v>12.218058797350499</v>
      </c>
      <c r="DN11" s="121">
        <v>6.8706639343795298E-2</v>
      </c>
      <c r="DO11" s="96">
        <v>-11.754627711588601</v>
      </c>
      <c r="DP11" s="96">
        <v>4.3559545999999996</v>
      </c>
      <c r="DQ11" s="120">
        <v>0.12449239426939</v>
      </c>
      <c r="DR11" s="121">
        <v>4.0971240749038899E-2</v>
      </c>
      <c r="DS11" s="120">
        <v>0.19310140776108001</v>
      </c>
      <c r="DT11" s="120">
        <v>0.13530889500000001</v>
      </c>
      <c r="DU11" s="114" t="s">
        <v>168</v>
      </c>
      <c r="DV11" s="114" t="s">
        <v>138</v>
      </c>
      <c r="DW11" s="114" t="s">
        <v>169</v>
      </c>
      <c r="DX11" s="114" t="s">
        <v>170</v>
      </c>
      <c r="DY11" s="114"/>
      <c r="DZ11" s="114"/>
      <c r="EA11" s="114"/>
      <c r="EB11" s="114"/>
    </row>
    <row r="12" spans="1:134" ht="15.5">
      <c r="C12" s="127"/>
      <c r="I12" s="127"/>
      <c r="J12" s="127"/>
      <c r="K12" s="127"/>
      <c r="L12" s="127"/>
      <c r="R12" s="127"/>
      <c r="S12" s="130"/>
      <c r="T12" s="130"/>
      <c r="U12" s="130"/>
      <c r="V12" s="130"/>
      <c r="W12" s="130"/>
      <c r="X12" s="127"/>
      <c r="AC12" s="127"/>
      <c r="AD12" s="130"/>
      <c r="AE12" s="130"/>
      <c r="AG12" s="127"/>
      <c r="AO12" s="127"/>
      <c r="AY12" s="127"/>
      <c r="BE12" s="65"/>
      <c r="BF12" s="132"/>
      <c r="BG12" s="132"/>
      <c r="BH12" s="132"/>
      <c r="BJ12" s="133"/>
      <c r="BK12" s="91"/>
      <c r="BL12" s="91"/>
      <c r="BM12" s="91"/>
      <c r="CB12" s="98" t="str">
        <f t="shared" si="7"/>
        <v>-NYS</v>
      </c>
      <c r="CI12" s="128"/>
      <c r="CJ12" s="104"/>
      <c r="CK12" s="103"/>
      <c r="CL12" s="128"/>
      <c r="CM12" s="128"/>
      <c r="CN12" s="128"/>
      <c r="CO12" s="128"/>
      <c r="CP12" s="110">
        <f t="shared" si="3"/>
        <v>0</v>
      </c>
      <c r="CQ12" s="111">
        <f t="shared" si="4"/>
        <v>0</v>
      </c>
      <c r="CR12" s="111" t="e">
        <f t="shared" si="5"/>
        <v>#DIV/0!</v>
      </c>
      <c r="CS12" s="112" t="e">
        <f t="shared" si="6"/>
        <v>#REF!</v>
      </c>
      <c r="CT12" s="126">
        <v>6</v>
      </c>
      <c r="CU12" s="102" t="s">
        <v>171</v>
      </c>
      <c r="CV12" s="102" t="s">
        <v>172</v>
      </c>
      <c r="CW12" s="102" t="s">
        <v>173</v>
      </c>
      <c r="CX12" s="129">
        <v>4.6611E-2</v>
      </c>
      <c r="CY12" s="114">
        <v>580.80280000000005</v>
      </c>
      <c r="CZ12" s="114">
        <v>583.15221071999997</v>
      </c>
      <c r="DA12" s="114">
        <v>583.15221071999997</v>
      </c>
      <c r="DB12" s="114">
        <v>1.4650000000000001</v>
      </c>
      <c r="DC12" s="115">
        <v>5.4600000000000003E-2</v>
      </c>
      <c r="DD12" s="116">
        <v>4.8333332E-2</v>
      </c>
      <c r="DE12" s="116">
        <v>6.6500000000000004E-2</v>
      </c>
      <c r="DF12" s="116">
        <v>7.8799999999999995E-2</v>
      </c>
      <c r="DG12" s="117">
        <v>-0.11477413919413899</v>
      </c>
      <c r="DH12" s="118">
        <v>53.540286999999999</v>
      </c>
      <c r="DI12" s="118">
        <v>57.8187</v>
      </c>
      <c r="DJ12" s="118">
        <v>69.244950000000003</v>
      </c>
      <c r="DK12" s="119">
        <v>7.9910161856248593E-2</v>
      </c>
      <c r="DL12" s="120">
        <v>2.50363451112941E-2</v>
      </c>
      <c r="DM12" s="96">
        <v>30.310345663733699</v>
      </c>
      <c r="DN12" s="121">
        <v>0.375862106920334</v>
      </c>
      <c r="DO12" s="96">
        <v>1.0948307992438699</v>
      </c>
      <c r="DP12" s="96">
        <v>9.558548</v>
      </c>
      <c r="DQ12" s="120">
        <v>0.23576729872372101</v>
      </c>
      <c r="DR12" s="121">
        <v>0.197622049613706</v>
      </c>
      <c r="DS12" s="120">
        <v>9.8531849181693804E-2</v>
      </c>
      <c r="DT12" s="120">
        <v>7.0030830000000002E-2</v>
      </c>
      <c r="DU12" s="114" t="s">
        <v>174</v>
      </c>
      <c r="DV12" s="114" t="s">
        <v>175</v>
      </c>
      <c r="DW12" s="114" t="s">
        <v>176</v>
      </c>
      <c r="DX12" s="114" t="s">
        <v>177</v>
      </c>
      <c r="DY12" s="114"/>
      <c r="DZ12" s="114"/>
      <c r="EA12" s="114"/>
      <c r="EB12" s="114"/>
    </row>
    <row r="13" spans="1:134" ht="15.5">
      <c r="C13" s="127"/>
      <c r="I13" s="127"/>
      <c r="J13" s="127"/>
      <c r="K13" s="127"/>
      <c r="L13" s="127"/>
      <c r="R13" s="127"/>
      <c r="S13" s="130"/>
      <c r="T13" s="130"/>
      <c r="U13" s="130"/>
      <c r="V13" s="130"/>
      <c r="W13" s="130"/>
      <c r="X13" s="127"/>
      <c r="AC13" s="127"/>
      <c r="AD13" s="130"/>
      <c r="AE13" s="130"/>
      <c r="AF13" s="133"/>
      <c r="AG13" s="127"/>
      <c r="AO13" s="127"/>
      <c r="AY13" s="127"/>
      <c r="BE13" s="65"/>
      <c r="BF13" s="132"/>
      <c r="BG13" s="132"/>
      <c r="BH13" s="132"/>
      <c r="BJ13" s="133"/>
      <c r="BK13" s="91"/>
      <c r="BL13" s="91"/>
      <c r="BM13" s="91"/>
      <c r="BU13" s="96"/>
      <c r="BV13" s="96"/>
      <c r="BW13" s="96"/>
      <c r="BX13" s="96"/>
      <c r="BY13" s="96"/>
      <c r="BZ13" s="96"/>
      <c r="CA13" s="97"/>
      <c r="CB13" s="136"/>
      <c r="CC13" s="136"/>
      <c r="CD13" s="2"/>
      <c r="CE13" s="2"/>
      <c r="CF13" s="2"/>
      <c r="CG13" s="2"/>
      <c r="CH13" s="137"/>
      <c r="CI13" s="1"/>
      <c r="CJ13" s="1"/>
      <c r="CK13" s="1"/>
      <c r="CL13" s="1"/>
      <c r="CM13" s="1"/>
      <c r="CN13" s="1"/>
      <c r="CO13" s="1"/>
      <c r="CP13" s="110"/>
      <c r="CQ13" s="111"/>
      <c r="CR13" s="111"/>
      <c r="CS13" s="112"/>
      <c r="CT13" s="126">
        <v>7</v>
      </c>
      <c r="CU13" s="102" t="s">
        <v>178</v>
      </c>
      <c r="CV13" s="102" t="s">
        <v>179</v>
      </c>
      <c r="CW13" s="102" t="s">
        <v>180</v>
      </c>
      <c r="CX13" s="129">
        <v>4.5664999999999997E-2</v>
      </c>
      <c r="CY13" s="114">
        <v>287.12795999999997</v>
      </c>
      <c r="CZ13" s="114">
        <v>115.89632184</v>
      </c>
      <c r="DA13" s="114">
        <v>115.89632184</v>
      </c>
      <c r="DB13" s="114">
        <v>0.14000000000000001</v>
      </c>
      <c r="DC13" s="115">
        <v>-5.0222999999999997E-2</v>
      </c>
      <c r="DD13" s="116">
        <v>-2.5000000000000001E-3</v>
      </c>
      <c r="DE13" s="116">
        <v>-6.7499999999999999E-3</v>
      </c>
      <c r="DF13" s="116">
        <v>0.01</v>
      </c>
      <c r="DG13" s="117">
        <v>0</v>
      </c>
      <c r="DH13" s="118">
        <v>-30.007000000000001</v>
      </c>
      <c r="DI13" s="118">
        <v>-5.5876292999999997</v>
      </c>
      <c r="DJ13" s="118">
        <v>-0.69484263999999996</v>
      </c>
      <c r="DK13" s="119">
        <v>0</v>
      </c>
      <c r="DL13" s="120">
        <v>-0.18982483352985099</v>
      </c>
      <c r="DM13" s="96" t="s">
        <v>137</v>
      </c>
      <c r="DN13" s="121" t="s">
        <v>137</v>
      </c>
      <c r="DO13" s="96" t="s">
        <v>137</v>
      </c>
      <c r="DP13" s="96" t="s">
        <v>137</v>
      </c>
      <c r="DQ13" s="120">
        <v>-5.7309018461538503</v>
      </c>
      <c r="DR13" s="121">
        <v>0</v>
      </c>
      <c r="DS13" s="120">
        <v>-0.63179361090521202</v>
      </c>
      <c r="DT13" s="120">
        <v>-2.9607600000000001E-2</v>
      </c>
      <c r="DU13" s="114" t="s">
        <v>181</v>
      </c>
      <c r="DV13" s="114" t="s">
        <v>174</v>
      </c>
      <c r="DW13" s="114" t="s">
        <v>182</v>
      </c>
      <c r="DX13" s="114" t="s">
        <v>183</v>
      </c>
      <c r="DY13" s="114"/>
      <c r="DZ13" s="114"/>
      <c r="EA13" s="114"/>
      <c r="EB13" s="114"/>
    </row>
    <row r="14" spans="1:134" ht="24">
      <c r="D14" s="6"/>
      <c r="E14" s="6"/>
      <c r="F14" s="38"/>
      <c r="G14" s="40"/>
      <c r="BQ14" s="63" t="s">
        <v>184</v>
      </c>
      <c r="BS14" s="95">
        <f>SUM(BS3:BS11)</f>
        <v>15694692.074835151</v>
      </c>
      <c r="CA14" s="68"/>
      <c r="CB14" s="102"/>
      <c r="CD14" s="63"/>
      <c r="CE14" s="63"/>
      <c r="CF14" s="63"/>
      <c r="CG14" s="63"/>
      <c r="CJ14" s="138"/>
      <c r="CK14" s="102"/>
      <c r="CL14" s="61"/>
      <c r="CM14" s="61"/>
      <c r="CQ14" s="111"/>
      <c r="CS14" s="112"/>
      <c r="CT14" s="126">
        <v>8</v>
      </c>
      <c r="CU14" s="102" t="s">
        <v>185</v>
      </c>
      <c r="CV14" s="102" t="s">
        <v>186</v>
      </c>
      <c r="CW14" s="102" t="s">
        <v>187</v>
      </c>
      <c r="CX14" s="129">
        <v>4.369E-2</v>
      </c>
      <c r="CY14" s="114">
        <v>16033.356</v>
      </c>
      <c r="CZ14" s="114" t="s">
        <v>137</v>
      </c>
      <c r="DA14" s="114" t="s">
        <v>137</v>
      </c>
      <c r="DB14" s="114">
        <v>89.21</v>
      </c>
      <c r="DC14" s="115" t="s">
        <v>137</v>
      </c>
      <c r="DD14" s="116" t="s">
        <v>137</v>
      </c>
      <c r="DE14" s="116" t="s">
        <v>137</v>
      </c>
      <c r="DF14" s="116" t="s">
        <v>137</v>
      </c>
      <c r="DG14" s="117" t="s">
        <v>137</v>
      </c>
      <c r="DH14" s="118" t="s">
        <v>137</v>
      </c>
      <c r="DI14" s="118" t="s">
        <v>137</v>
      </c>
      <c r="DJ14" s="118" t="s">
        <v>137</v>
      </c>
      <c r="DK14" s="119" t="s">
        <v>137</v>
      </c>
      <c r="DL14" s="120" t="s">
        <v>137</v>
      </c>
      <c r="DM14" s="96" t="s">
        <v>137</v>
      </c>
      <c r="DN14" s="121" t="s">
        <v>137</v>
      </c>
      <c r="DO14" s="96" t="s">
        <v>137</v>
      </c>
      <c r="DP14" s="96" t="s">
        <v>137</v>
      </c>
      <c r="DQ14" s="120" t="s">
        <v>137</v>
      </c>
      <c r="DR14" s="121" t="s">
        <v>137</v>
      </c>
      <c r="DS14" s="120" t="s">
        <v>137</v>
      </c>
      <c r="DT14" s="120" t="s">
        <v>137</v>
      </c>
      <c r="DU14" s="114" t="s">
        <v>139</v>
      </c>
      <c r="DV14" s="114" t="s">
        <v>188</v>
      </c>
      <c r="DW14" s="114" t="s">
        <v>189</v>
      </c>
      <c r="DX14" s="114" t="s">
        <v>190</v>
      </c>
    </row>
    <row r="15" spans="1:134" ht="24">
      <c r="D15" s="36"/>
      <c r="E15" s="42"/>
      <c r="F15" s="38"/>
      <c r="G15" s="43"/>
      <c r="BS15" s="95"/>
      <c r="CA15" s="68"/>
      <c r="CB15" s="102"/>
      <c r="CD15" s="63"/>
      <c r="CE15" s="63"/>
      <c r="CF15" s="63"/>
      <c r="CG15" s="63"/>
      <c r="CJ15" s="139"/>
      <c r="CK15" s="102"/>
      <c r="CL15" s="61"/>
      <c r="CM15" s="61"/>
      <c r="CQ15" s="111"/>
      <c r="CS15" s="66"/>
      <c r="CT15" s="126">
        <v>9</v>
      </c>
      <c r="CU15" s="102" t="s">
        <v>191</v>
      </c>
      <c r="CV15" s="102" t="s">
        <v>192</v>
      </c>
      <c r="CW15" s="102" t="s">
        <v>193</v>
      </c>
      <c r="CX15" s="129">
        <v>4.0918000000000003E-2</v>
      </c>
      <c r="CY15" s="114">
        <v>1088.0491</v>
      </c>
      <c r="CZ15" s="114">
        <v>1359.76217</v>
      </c>
      <c r="DA15" s="114">
        <v>1359.76217</v>
      </c>
      <c r="DB15" s="114">
        <v>4.1500000000000004</v>
      </c>
      <c r="DC15" s="115">
        <v>7.4663999999999994E-2</v>
      </c>
      <c r="DD15" s="116">
        <v>0.63779540000000001</v>
      </c>
      <c r="DE15" s="116">
        <v>0.5653762</v>
      </c>
      <c r="DF15" s="116">
        <v>0.51535719999999996</v>
      </c>
      <c r="DG15" s="117">
        <v>7.5422077574199102</v>
      </c>
      <c r="DH15" s="118">
        <v>59.880665</v>
      </c>
      <c r="DI15" s="118">
        <v>329.54199999999997</v>
      </c>
      <c r="DJ15" s="118">
        <v>326.06099999999998</v>
      </c>
      <c r="DK15" s="119">
        <v>4.5033122962144798</v>
      </c>
      <c r="DL15" s="120" t="s">
        <v>137</v>
      </c>
      <c r="DM15" s="96">
        <v>6.5067888542313099</v>
      </c>
      <c r="DN15" s="121">
        <v>-0.113546130937915</v>
      </c>
      <c r="DO15" s="96">
        <v>-0.64362699363866105</v>
      </c>
      <c r="DP15" s="96">
        <v>3.5165934999999999</v>
      </c>
      <c r="DQ15" s="120">
        <v>0.86627656330504799</v>
      </c>
      <c r="DR15" s="121">
        <v>-1.05631452136602E-2</v>
      </c>
      <c r="DS15" s="120">
        <v>-4.1596840052906099E-2</v>
      </c>
      <c r="DT15" s="120" t="s">
        <v>137</v>
      </c>
      <c r="DU15" s="114" t="s">
        <v>194</v>
      </c>
      <c r="DV15" s="114" t="s">
        <v>138</v>
      </c>
      <c r="DW15" s="114" t="s">
        <v>195</v>
      </c>
      <c r="DX15" s="114" t="s">
        <v>196</v>
      </c>
    </row>
    <row r="16" spans="1:134" ht="24">
      <c r="D16" s="36"/>
      <c r="E16" s="42"/>
      <c r="F16" s="38"/>
      <c r="G16" s="45"/>
      <c r="BS16" s="95"/>
      <c r="CA16" s="68"/>
      <c r="CB16" s="102"/>
      <c r="CD16" s="63"/>
      <c r="CE16" s="63"/>
      <c r="CF16" s="63"/>
      <c r="CG16" s="63"/>
      <c r="CJ16" s="139"/>
      <c r="CK16" s="140"/>
      <c r="CL16" s="61"/>
      <c r="CM16" s="61"/>
      <c r="CQ16" s="111"/>
      <c r="CS16" s="66"/>
      <c r="CT16" s="126">
        <v>10</v>
      </c>
      <c r="CU16" s="102" t="s">
        <v>197</v>
      </c>
      <c r="CV16" s="102" t="s">
        <v>198</v>
      </c>
      <c r="CW16" s="102" t="s">
        <v>199</v>
      </c>
      <c r="CX16" s="129">
        <v>3.9981000000000003E-2</v>
      </c>
      <c r="CY16" s="114">
        <v>390.84174000000002</v>
      </c>
      <c r="CZ16" s="114">
        <v>365.04599999999999</v>
      </c>
      <c r="DA16" s="114">
        <v>365.04599999999999</v>
      </c>
      <c r="DB16" s="114">
        <v>1.95</v>
      </c>
      <c r="DC16" s="115">
        <v>-2.793E-2</v>
      </c>
      <c r="DD16" s="116">
        <v>1.597521E-3</v>
      </c>
      <c r="DE16" s="116">
        <v>8.7475486000000005E-2</v>
      </c>
      <c r="DF16" s="116" t="s">
        <v>137</v>
      </c>
      <c r="DG16" s="117">
        <v>0</v>
      </c>
      <c r="DH16" s="118">
        <v>13.3</v>
      </c>
      <c r="DI16" s="118">
        <v>17.821829000000001</v>
      </c>
      <c r="DJ16" s="118">
        <v>24.802769000000001</v>
      </c>
      <c r="DK16" s="119">
        <v>0.33998714285714299</v>
      </c>
      <c r="DL16" s="120">
        <v>2.2803474082718302E-2</v>
      </c>
      <c r="DM16" s="96">
        <v>1220.6412310072899</v>
      </c>
      <c r="DN16" s="121">
        <v>53.757017904615999</v>
      </c>
      <c r="DO16" s="96" t="s">
        <v>137</v>
      </c>
      <c r="DP16" s="96">
        <v>20.560738000000001</v>
      </c>
      <c r="DQ16" s="120">
        <v>0.16967745645511201</v>
      </c>
      <c r="DR16" s="121">
        <v>0.39170727089795299</v>
      </c>
      <c r="DS16" s="120">
        <v>-6.4271087642011601E-2</v>
      </c>
      <c r="DT16" s="120">
        <v>-1.3119726E-2</v>
      </c>
      <c r="DU16" s="114" t="s">
        <v>194</v>
      </c>
      <c r="DV16" s="114" t="s">
        <v>138</v>
      </c>
      <c r="DW16" s="114" t="s">
        <v>200</v>
      </c>
      <c r="DX16" s="114" t="s">
        <v>201</v>
      </c>
    </row>
    <row r="17" spans="4:128" ht="24">
      <c r="D17" s="36"/>
      <c r="E17" s="42"/>
      <c r="F17" s="38"/>
      <c r="G17" s="40"/>
      <c r="CA17" s="68"/>
      <c r="CB17" s="102"/>
      <c r="CD17" s="63"/>
      <c r="CF17" s="67"/>
      <c r="CG17" s="67"/>
      <c r="CH17" s="67"/>
      <c r="CI17" s="67"/>
      <c r="CJ17" s="67"/>
      <c r="CK17" s="67"/>
      <c r="CL17" s="61"/>
      <c r="CM17" s="61"/>
      <c r="CQ17" s="111"/>
      <c r="CS17" s="66"/>
      <c r="CT17" s="126"/>
      <c r="CU17" s="102"/>
      <c r="CV17" s="102"/>
      <c r="CW17" s="102"/>
      <c r="CX17" s="102"/>
      <c r="CY17" s="114"/>
      <c r="CZ17" s="114"/>
      <c r="DA17" s="114"/>
      <c r="DB17" s="114"/>
      <c r="DC17" s="115"/>
      <c r="DD17" s="116"/>
      <c r="DE17" s="116"/>
      <c r="DF17" s="116"/>
      <c r="DG17" s="117"/>
      <c r="DH17" s="118"/>
      <c r="DI17" s="118"/>
      <c r="DJ17" s="118"/>
      <c r="DK17" s="119"/>
      <c r="DL17" s="120"/>
      <c r="DM17" s="96"/>
      <c r="DN17" s="121"/>
      <c r="DO17" s="96"/>
      <c r="DP17" s="96"/>
      <c r="DQ17" s="120"/>
      <c r="DR17" s="121"/>
      <c r="DS17" s="120"/>
      <c r="DT17" s="120"/>
      <c r="DU17" s="114"/>
      <c r="DV17" s="114"/>
      <c r="DW17" s="114"/>
      <c r="DX17" s="114"/>
    </row>
    <row r="18" spans="4:128" ht="24">
      <c r="D18" s="36"/>
      <c r="E18" s="42"/>
      <c r="F18" s="38"/>
      <c r="G18" s="40"/>
      <c r="CJ18" s="139"/>
      <c r="CK18" s="102"/>
      <c r="CL18" s="61"/>
      <c r="CM18" s="61"/>
      <c r="CQ18" s="111"/>
      <c r="CS18" s="66"/>
      <c r="CT18" s="126"/>
      <c r="CU18" s="102"/>
      <c r="CV18" s="102"/>
      <c r="CW18" s="102"/>
      <c r="CX18" s="102"/>
      <c r="CY18" s="114"/>
      <c r="CZ18" s="114"/>
      <c r="DA18" s="114"/>
      <c r="DB18" s="114"/>
      <c r="DC18" s="115"/>
      <c r="DD18" s="116"/>
      <c r="DE18" s="116"/>
      <c r="DF18" s="116"/>
      <c r="DG18" s="117"/>
      <c r="DH18" s="118"/>
      <c r="DI18" s="118"/>
      <c r="DJ18" s="118"/>
      <c r="DK18" s="119"/>
      <c r="DL18" s="120"/>
      <c r="DM18" s="96"/>
      <c r="DN18" s="121"/>
      <c r="DO18" s="96"/>
      <c r="DP18" s="96"/>
      <c r="DQ18" s="120"/>
      <c r="DR18" s="121"/>
      <c r="DS18" s="120"/>
      <c r="DT18" s="120"/>
      <c r="DU18" s="114"/>
      <c r="DV18" s="114"/>
      <c r="DW18" s="114"/>
      <c r="DX18" s="114"/>
    </row>
    <row r="19" spans="4:128" ht="24">
      <c r="D19" s="36"/>
      <c r="E19" s="42"/>
      <c r="F19" s="38"/>
      <c r="G19" s="40"/>
      <c r="CA19" s="141" t="s">
        <v>202</v>
      </c>
      <c r="CB19" s="142"/>
      <c r="CC19" s="143">
        <f>AVERAGE(CK4:CK12)/1000</f>
        <v>548.05386216248075</v>
      </c>
      <c r="CD19" s="144" t="s">
        <v>203</v>
      </c>
      <c r="CE19" s="145" t="s">
        <v>204</v>
      </c>
      <c r="CJ19" s="139"/>
      <c r="CK19" s="102"/>
      <c r="CL19" s="61"/>
      <c r="CM19" s="61"/>
      <c r="CQ19" s="111"/>
      <c r="CS19" s="66"/>
      <c r="CV19" s="102"/>
      <c r="CW19" s="102"/>
      <c r="CX19" s="102"/>
      <c r="CY19" s="114"/>
      <c r="CZ19" s="114"/>
      <c r="DA19" s="114"/>
      <c r="DB19" s="114"/>
      <c r="DC19" s="115"/>
      <c r="DD19" s="116"/>
      <c r="DE19" s="116"/>
      <c r="DF19" s="116"/>
      <c r="DG19" s="117"/>
      <c r="DH19" s="118"/>
      <c r="DI19" s="118"/>
      <c r="DJ19" s="118"/>
      <c r="DK19" s="119"/>
      <c r="DL19" s="120"/>
      <c r="DM19" s="96"/>
      <c r="DN19" s="121"/>
      <c r="DO19" s="96"/>
      <c r="DP19" s="96"/>
      <c r="DQ19" s="120"/>
      <c r="DR19" s="121"/>
      <c r="DS19" s="120"/>
      <c r="DT19" s="120"/>
      <c r="DU19" s="114"/>
      <c r="DV19" s="114"/>
      <c r="DW19" s="114"/>
      <c r="DX19" s="114"/>
    </row>
    <row r="20" spans="4:128" ht="24">
      <c r="D20" s="36"/>
      <c r="E20" s="38"/>
      <c r="F20" s="38"/>
      <c r="G20" s="50"/>
      <c r="CA20" s="146" t="s">
        <v>205</v>
      </c>
      <c r="CB20" s="147"/>
      <c r="CC20" s="148">
        <f>SUMPRODUCT($CK$4:$CK$12,$CJ$4:$CJ$12)/1000</f>
        <v>144.73253359740127</v>
      </c>
      <c r="CD20" s="102" t="s">
        <v>203</v>
      </c>
      <c r="CE20" s="145" t="s">
        <v>206</v>
      </c>
      <c r="CJ20" s="139"/>
      <c r="CK20" s="102"/>
      <c r="CL20" s="61"/>
      <c r="CM20" s="61"/>
      <c r="CQ20" s="111"/>
      <c r="CS20" s="66"/>
      <c r="CV20" s="102"/>
      <c r="CW20" s="102"/>
      <c r="CX20" s="102"/>
      <c r="CY20" s="114"/>
      <c r="CZ20" s="114"/>
      <c r="DA20" s="114"/>
      <c r="DB20" s="114"/>
      <c r="DC20" s="115"/>
      <c r="DD20" s="116"/>
      <c r="DE20" s="116"/>
      <c r="DF20" s="116"/>
      <c r="DG20" s="117"/>
      <c r="DH20" s="118"/>
      <c r="DI20" s="118"/>
      <c r="DJ20" s="118"/>
      <c r="DK20" s="119"/>
      <c r="DL20" s="120"/>
      <c r="DM20" s="96"/>
      <c r="DN20" s="121"/>
      <c r="DO20" s="96"/>
      <c r="DP20" s="96"/>
      <c r="DQ20" s="120"/>
      <c r="DR20" s="121"/>
      <c r="DS20" s="120"/>
      <c r="DT20" s="120"/>
      <c r="DU20" s="114"/>
      <c r="DV20" s="114"/>
      <c r="DW20" s="114"/>
      <c r="DX20" s="114"/>
    </row>
    <row r="21" spans="4:128" ht="24">
      <c r="D21" s="36"/>
      <c r="E21" s="42"/>
      <c r="F21" s="38"/>
      <c r="G21" s="58"/>
      <c r="CA21" s="141" t="s">
        <v>207</v>
      </c>
      <c r="CB21" s="149"/>
      <c r="CC21" s="150">
        <f>AVERAGE(CN4:CN12)</f>
        <v>4914.330342244225</v>
      </c>
      <c r="CD21" s="102" t="s">
        <v>208</v>
      </c>
      <c r="CE21" s="102"/>
      <c r="CF21" s="63"/>
      <c r="CG21" s="63"/>
      <c r="CJ21" s="139"/>
      <c r="CK21" s="102"/>
      <c r="CL21" s="61"/>
      <c r="CM21" s="61"/>
      <c r="CQ21" s="111"/>
      <c r="CS21" s="66"/>
      <c r="CV21" s="102"/>
      <c r="CW21" s="102"/>
      <c r="CX21" s="102"/>
      <c r="CY21" s="114"/>
      <c r="CZ21" s="114"/>
      <c r="DA21" s="114"/>
      <c r="DB21" s="114"/>
      <c r="DC21" s="115"/>
      <c r="DD21" s="116"/>
      <c r="DE21" s="116"/>
      <c r="DF21" s="116"/>
      <c r="DG21" s="117"/>
      <c r="DH21" s="118"/>
      <c r="DI21" s="118"/>
      <c r="DJ21" s="118"/>
      <c r="DK21" s="119"/>
      <c r="DL21" s="120"/>
      <c r="DM21" s="96"/>
      <c r="DN21" s="121"/>
      <c r="DO21" s="96"/>
      <c r="DP21" s="96"/>
      <c r="DQ21" s="120"/>
      <c r="DR21" s="121"/>
      <c r="DS21" s="120"/>
      <c r="DT21" s="120"/>
      <c r="DU21" s="114"/>
      <c r="DV21" s="114"/>
      <c r="DW21" s="114"/>
      <c r="DX21" s="114"/>
    </row>
    <row r="22" spans="4:128" ht="24">
      <c r="D22" s="36"/>
      <c r="E22" s="38"/>
      <c r="F22" s="38"/>
      <c r="G22" s="50"/>
      <c r="CA22" s="146" t="s">
        <v>209</v>
      </c>
      <c r="CB22" s="147"/>
      <c r="CC22" s="151">
        <f>SUMPRODUCT($CN$4:$CN$12,$CJ$4:$CJ$12)</f>
        <v>1312.0216512096836</v>
      </c>
      <c r="CD22" s="102" t="s">
        <v>208</v>
      </c>
      <c r="CE22" s="102" t="s">
        <v>210</v>
      </c>
      <c r="CF22" s="63"/>
      <c r="CG22" s="63"/>
      <c r="CJ22" s="139"/>
      <c r="CK22" s="102"/>
      <c r="CL22" s="61"/>
      <c r="CM22" s="61"/>
      <c r="CQ22" s="111"/>
      <c r="CS22" s="66"/>
      <c r="CV22" s="102"/>
      <c r="CW22" s="102"/>
      <c r="CX22" s="102"/>
      <c r="CY22" s="114"/>
      <c r="CZ22" s="114"/>
      <c r="DA22" s="114"/>
      <c r="DB22" s="114"/>
      <c r="DC22" s="115"/>
      <c r="DD22" s="116"/>
      <c r="DE22" s="116"/>
      <c r="DF22" s="116"/>
      <c r="DG22" s="117"/>
      <c r="DH22" s="118"/>
      <c r="DI22" s="118"/>
      <c r="DJ22" s="118"/>
      <c r="DK22" s="119"/>
      <c r="DL22" s="120"/>
      <c r="DM22" s="96"/>
      <c r="DN22" s="121"/>
      <c r="DO22" s="96"/>
      <c r="DP22" s="96"/>
      <c r="DQ22" s="120"/>
      <c r="DR22" s="121"/>
      <c r="DS22" s="120"/>
      <c r="DT22" s="120"/>
      <c r="DU22" s="114"/>
      <c r="DV22" s="114"/>
      <c r="DW22" s="114"/>
      <c r="DX22" s="114"/>
    </row>
    <row r="23" spans="4:128" ht="14.5">
      <c r="CA23" s="141" t="s">
        <v>211</v>
      </c>
      <c r="CB23" s="149"/>
      <c r="CC23" s="152"/>
      <c r="CD23" s="63"/>
      <c r="CE23" s="63"/>
      <c r="CF23" s="63"/>
      <c r="CG23" s="63"/>
      <c r="CJ23" s="139"/>
      <c r="CK23" s="102"/>
      <c r="CL23" s="61"/>
      <c r="CM23" s="61"/>
      <c r="CQ23" s="111"/>
      <c r="CS23" s="66"/>
      <c r="CV23" s="102"/>
      <c r="CW23" s="102"/>
      <c r="CX23" s="102"/>
      <c r="CY23" s="114"/>
      <c r="CZ23" s="114"/>
      <c r="DA23" s="114"/>
      <c r="DB23" s="114"/>
      <c r="DC23" s="115"/>
      <c r="DD23" s="116"/>
      <c r="DE23" s="116"/>
      <c r="DF23" s="116"/>
      <c r="DG23" s="117"/>
      <c r="DH23" s="118"/>
      <c r="DI23" s="118"/>
      <c r="DJ23" s="118"/>
      <c r="DK23" s="119"/>
      <c r="DL23" s="120"/>
      <c r="DM23" s="96"/>
      <c r="DN23" s="121"/>
      <c r="DO23" s="96"/>
      <c r="DP23" s="96"/>
      <c r="DQ23" s="120"/>
      <c r="DR23" s="121"/>
      <c r="DS23" s="120"/>
      <c r="DT23" s="120"/>
      <c r="DU23" s="114"/>
      <c r="DV23" s="114"/>
      <c r="DW23" s="114"/>
      <c r="DX23" s="114"/>
    </row>
    <row r="24" spans="4:128" ht="14.5">
      <c r="CA24" s="68"/>
      <c r="CB24" s="102"/>
      <c r="CD24" s="63"/>
      <c r="CE24" s="63"/>
      <c r="CF24" s="63"/>
      <c r="CG24" s="63"/>
      <c r="CJ24" s="139"/>
      <c r="CK24" s="102"/>
      <c r="CL24" s="61"/>
      <c r="CM24" s="61"/>
      <c r="CQ24" s="111"/>
      <c r="CS24" s="66"/>
      <c r="CV24" s="102"/>
      <c r="CW24" s="102"/>
      <c r="CX24" s="102"/>
      <c r="CY24" s="114"/>
      <c r="CZ24" s="114"/>
      <c r="DA24" s="114"/>
      <c r="DB24" s="114"/>
      <c r="DC24" s="115"/>
      <c r="DD24" s="116"/>
      <c r="DE24" s="116"/>
      <c r="DF24" s="116"/>
      <c r="DG24" s="117"/>
      <c r="DH24" s="118"/>
      <c r="DI24" s="118"/>
      <c r="DJ24" s="118"/>
      <c r="DK24" s="119"/>
      <c r="DL24" s="120"/>
      <c r="DM24" s="96"/>
      <c r="DN24" s="121"/>
      <c r="DO24" s="96"/>
      <c r="DP24" s="96"/>
      <c r="DQ24" s="120"/>
      <c r="DR24" s="121"/>
      <c r="DS24" s="120"/>
      <c r="DT24" s="120"/>
      <c r="DU24" s="114"/>
      <c r="DV24" s="114"/>
      <c r="DW24" s="114"/>
      <c r="DX24" s="114"/>
    </row>
    <row r="25" spans="4:128" ht="14.5">
      <c r="CA25" s="153"/>
      <c r="CB25" s="102"/>
      <c r="CD25" s="63"/>
      <c r="CE25" s="102" t="s">
        <v>212</v>
      </c>
      <c r="CF25" s="63"/>
      <c r="CG25" s="63"/>
      <c r="CJ25" s="139"/>
      <c r="CK25" s="102"/>
      <c r="CL25" s="61"/>
      <c r="CM25" s="61"/>
      <c r="CQ25" s="111"/>
      <c r="CS25" s="66"/>
      <c r="CU25" s="102"/>
      <c r="CV25" s="102"/>
      <c r="CW25" s="102"/>
      <c r="CX25" s="102"/>
      <c r="CY25" s="114"/>
      <c r="CZ25" s="114"/>
      <c r="DA25" s="114"/>
      <c r="DB25" s="114"/>
      <c r="DC25" s="115"/>
      <c r="DD25" s="116"/>
      <c r="DE25" s="116"/>
      <c r="DF25" s="116"/>
      <c r="DG25" s="117"/>
      <c r="DH25" s="118"/>
      <c r="DI25" s="118"/>
      <c r="DJ25" s="118"/>
      <c r="DK25" s="119"/>
      <c r="DL25" s="120"/>
      <c r="DM25" s="96"/>
      <c r="DN25" s="121"/>
      <c r="DO25" s="96"/>
      <c r="DP25" s="96"/>
      <c r="DQ25" s="120"/>
      <c r="DR25" s="121"/>
      <c r="DS25" s="120"/>
      <c r="DT25" s="120"/>
      <c r="DU25" s="114"/>
      <c r="DV25" s="114"/>
      <c r="DW25" s="114"/>
      <c r="DX25" s="114"/>
    </row>
    <row r="26" spans="4:128" ht="14.5">
      <c r="CA26" s="113" t="s">
        <v>213</v>
      </c>
      <c r="CB26" s="102"/>
      <c r="CD26" s="63"/>
      <c r="CE26" s="102"/>
      <c r="CF26" s="63"/>
      <c r="CG26" s="63"/>
      <c r="CJ26" s="139"/>
      <c r="CK26" s="102"/>
      <c r="CL26" s="61"/>
      <c r="CM26" s="61"/>
      <c r="CQ26" s="111"/>
      <c r="CS26" s="66"/>
      <c r="CU26" s="102"/>
      <c r="CV26" s="102"/>
      <c r="CW26" s="102"/>
      <c r="CX26" s="102"/>
      <c r="CY26" s="114"/>
      <c r="CZ26" s="114"/>
      <c r="DA26" s="114"/>
      <c r="DB26" s="114"/>
      <c r="DC26" s="115"/>
      <c r="DD26" s="116"/>
      <c r="DE26" s="116"/>
      <c r="DF26" s="116"/>
      <c r="DG26" s="117"/>
      <c r="DH26" s="118"/>
      <c r="DI26" s="118"/>
      <c r="DJ26" s="118"/>
      <c r="DK26" s="119"/>
      <c r="DL26" s="120"/>
      <c r="DM26" s="96"/>
      <c r="DN26" s="121"/>
      <c r="DO26" s="96"/>
      <c r="DP26" s="96"/>
      <c r="DQ26" s="120"/>
      <c r="DR26" s="121"/>
      <c r="DS26" s="120"/>
      <c r="DT26" s="120"/>
      <c r="DU26" s="114"/>
      <c r="DV26" s="114"/>
      <c r="DW26" s="114"/>
      <c r="DX26" s="114"/>
    </row>
    <row r="27" spans="4:128" ht="14.5">
      <c r="CA27" s="113" t="s">
        <v>214</v>
      </c>
      <c r="CB27" s="154">
        <v>0.84</v>
      </c>
      <c r="CD27" s="63"/>
      <c r="CE27" s="102"/>
      <c r="CF27" s="63"/>
      <c r="CG27" s="63"/>
      <c r="CJ27" s="139"/>
      <c r="CK27" s="102"/>
      <c r="CL27" s="61"/>
      <c r="CM27" s="61"/>
      <c r="CQ27" s="111"/>
      <c r="CS27" s="66"/>
      <c r="CU27" s="102"/>
      <c r="CV27" s="102"/>
      <c r="CW27" s="102"/>
      <c r="CX27" s="102"/>
      <c r="CY27" s="114"/>
      <c r="CZ27" s="114"/>
      <c r="DA27" s="114"/>
      <c r="DB27" s="114"/>
      <c r="DC27" s="115"/>
      <c r="DD27" s="116"/>
      <c r="DE27" s="116"/>
      <c r="DF27" s="116"/>
      <c r="DG27" s="117"/>
      <c r="DH27" s="118"/>
      <c r="DI27" s="118"/>
      <c r="DJ27" s="118"/>
      <c r="DK27" s="119"/>
      <c r="DL27" s="120"/>
      <c r="DM27" s="96"/>
      <c r="DN27" s="121"/>
      <c r="DO27" s="96"/>
      <c r="DP27" s="96"/>
      <c r="DQ27" s="120"/>
      <c r="DR27" s="121"/>
      <c r="DS27" s="120"/>
      <c r="DT27" s="120"/>
      <c r="DU27" s="114"/>
      <c r="DV27" s="114"/>
      <c r="DW27" s="114"/>
      <c r="DX27" s="114"/>
    </row>
    <row r="28" spans="4:128" ht="14.5">
      <c r="CA28" s="113" t="s">
        <v>215</v>
      </c>
      <c r="CB28" s="154">
        <v>0.11</v>
      </c>
      <c r="CD28" s="63"/>
      <c r="CE28" s="102"/>
      <c r="CF28" s="63"/>
      <c r="CG28" s="63"/>
      <c r="CJ28" s="139"/>
      <c r="CK28" s="102"/>
      <c r="CL28" s="61"/>
      <c r="CM28" s="61"/>
      <c r="CQ28" s="111"/>
      <c r="CS28" s="66"/>
      <c r="CU28" s="102"/>
      <c r="CV28" s="102"/>
      <c r="CW28" s="102"/>
      <c r="CX28" s="102"/>
      <c r="CY28" s="114"/>
      <c r="CZ28" s="114"/>
      <c r="DA28" s="114"/>
      <c r="DB28" s="114"/>
      <c r="DC28" s="115"/>
      <c r="DD28" s="116"/>
      <c r="DE28" s="116"/>
      <c r="DF28" s="116"/>
      <c r="DG28" s="117"/>
      <c r="DH28" s="118"/>
      <c r="DI28" s="118"/>
      <c r="DJ28" s="118"/>
      <c r="DK28" s="119"/>
      <c r="DL28" s="120"/>
      <c r="DM28" s="96"/>
      <c r="DN28" s="121"/>
      <c r="DO28" s="96"/>
      <c r="DP28" s="96"/>
      <c r="DQ28" s="120"/>
      <c r="DR28" s="121"/>
      <c r="DS28" s="120"/>
      <c r="DT28" s="120"/>
      <c r="DU28" s="114"/>
      <c r="DV28" s="114"/>
      <c r="DW28" s="114"/>
      <c r="DX28" s="114"/>
    </row>
    <row r="29" spans="4:128" ht="14.5">
      <c r="CA29" s="113" t="s">
        <v>216</v>
      </c>
      <c r="CB29" s="154">
        <f>SUMIFS($CJ$4:$CJ$13,$CK$4:$CK$13,"&gt;500",$CK$4:$CK$13,"&lt;1000")</f>
        <v>0</v>
      </c>
      <c r="CD29" s="63"/>
      <c r="CE29" s="102"/>
      <c r="CF29" s="63"/>
      <c r="CG29" s="63"/>
      <c r="CJ29" s="139"/>
      <c r="CK29" s="102"/>
      <c r="CL29" s="61"/>
      <c r="CM29" s="61"/>
      <c r="CQ29" s="111"/>
      <c r="CS29" s="66"/>
    </row>
    <row r="30" spans="4:128" ht="14.5">
      <c r="CA30" s="113" t="s">
        <v>217</v>
      </c>
      <c r="CB30" s="154">
        <v>0</v>
      </c>
      <c r="CD30" s="63"/>
      <c r="CE30" s="63"/>
      <c r="CF30" s="63"/>
      <c r="CG30" s="63"/>
    </row>
    <row r="31" spans="4:128" ht="14.5">
      <c r="CA31" s="113" t="s">
        <v>218</v>
      </c>
      <c r="CB31" s="154">
        <v>0.05</v>
      </c>
      <c r="CD31" s="63"/>
      <c r="CE31" s="63"/>
      <c r="CF31" s="63"/>
      <c r="CG31" s="63"/>
    </row>
    <row r="32" spans="4:128" ht="14.5">
      <c r="CA32" s="126"/>
      <c r="CB32" s="154"/>
      <c r="CD32" s="63"/>
      <c r="CE32" s="63"/>
      <c r="CF32" s="63"/>
      <c r="CG32" s="63"/>
    </row>
    <row r="33" spans="79:86" ht="14.5">
      <c r="CA33" s="155" t="s">
        <v>219</v>
      </c>
      <c r="CH33" s="111"/>
    </row>
    <row r="34" spans="79:86" ht="14.5">
      <c r="CA34" s="68" t="s">
        <v>220</v>
      </c>
      <c r="CB34" s="63" t="s">
        <v>221</v>
      </c>
      <c r="CC34" s="61" t="s">
        <v>222</v>
      </c>
      <c r="CD34" s="61"/>
      <c r="CE34" s="61"/>
      <c r="CH34" s="111"/>
    </row>
    <row r="35" spans="79:86" ht="14.5">
      <c r="CA35" s="68" t="s">
        <v>108</v>
      </c>
      <c r="CB35" s="111">
        <v>300</v>
      </c>
      <c r="CH35" s="111"/>
    </row>
    <row r="36" spans="79:86" ht="14.5">
      <c r="CH36" s="111"/>
    </row>
    <row r="37" spans="79:86" ht="14.5">
      <c r="CA37" s="156" t="s">
        <v>223</v>
      </c>
      <c r="CB37" s="74"/>
      <c r="CC37" s="74"/>
      <c r="CD37" s="74"/>
      <c r="CE37" s="74"/>
      <c r="CF37" s="74"/>
      <c r="CG37" s="74"/>
      <c r="CH37" s="74"/>
    </row>
    <row r="38" spans="79:86" ht="14.5">
      <c r="CH38" s="111"/>
    </row>
    <row r="39" spans="79:86" ht="14.5">
      <c r="CA39" s="157" t="s">
        <v>224</v>
      </c>
      <c r="CB39" s="61"/>
      <c r="CC39" s="94">
        <v>3.4000000000000002E-2</v>
      </c>
      <c r="CD39" s="67" t="s">
        <v>225</v>
      </c>
      <c r="CF39" s="61" t="s">
        <v>225</v>
      </c>
      <c r="CG39" s="61" t="s">
        <v>135</v>
      </c>
      <c r="CH39" s="111">
        <v>5.2453000000000003</v>
      </c>
    </row>
    <row r="40" spans="79:86" ht="14.5">
      <c r="CA40" s="157" t="s">
        <v>226</v>
      </c>
      <c r="CB40" s="61"/>
      <c r="CC40" s="94">
        <v>5.6500000000000002E-2</v>
      </c>
      <c r="CD40" s="67" t="s">
        <v>227</v>
      </c>
      <c r="CF40" s="61" t="s">
        <v>227</v>
      </c>
      <c r="CG40" s="61" t="s">
        <v>144</v>
      </c>
      <c r="CH40" s="111">
        <v>5.1017999999999999</v>
      </c>
    </row>
    <row r="41" spans="79:86" ht="14.5">
      <c r="CA41" s="157" t="s">
        <v>228</v>
      </c>
      <c r="CB41" s="61"/>
      <c r="CC41" s="94">
        <v>9.1999999999999998E-2</v>
      </c>
      <c r="CD41" s="67" t="s">
        <v>229</v>
      </c>
      <c r="CF41" s="61" t="s">
        <v>230</v>
      </c>
      <c r="CG41" s="61" t="s">
        <v>152</v>
      </c>
      <c r="CH41" s="111">
        <v>4.8231999999999999</v>
      </c>
    </row>
    <row r="42" spans="79:86" ht="14.5">
      <c r="CA42" s="157" t="s">
        <v>231</v>
      </c>
      <c r="CB42" s="61"/>
      <c r="CC42" s="94">
        <v>0.11</v>
      </c>
      <c r="CD42" s="67" t="s">
        <v>230</v>
      </c>
      <c r="CF42" s="61" t="s">
        <v>232</v>
      </c>
      <c r="CG42" s="61" t="s">
        <v>160</v>
      </c>
      <c r="CH42" s="111">
        <v>5.12</v>
      </c>
    </row>
    <row r="43" spans="79:86" ht="14.5">
      <c r="CA43" s="157" t="s">
        <v>233</v>
      </c>
      <c r="CB43" s="61"/>
      <c r="CC43" s="94">
        <v>0.157</v>
      </c>
      <c r="CD43" s="67" t="s">
        <v>232</v>
      </c>
      <c r="CF43" s="61" t="s">
        <v>234</v>
      </c>
      <c r="CG43" s="61" t="s">
        <v>166</v>
      </c>
      <c r="CH43" s="111">
        <v>4.6931000000000003</v>
      </c>
    </row>
    <row r="44" spans="79:86" ht="14.5">
      <c r="CA44" s="157" t="s">
        <v>235</v>
      </c>
      <c r="CB44" s="61"/>
      <c r="CC44" s="94">
        <v>0.183</v>
      </c>
      <c r="CD44" s="67" t="s">
        <v>236</v>
      </c>
      <c r="CF44" s="102" t="s">
        <v>234</v>
      </c>
      <c r="CG44" s="61" t="s">
        <v>172</v>
      </c>
      <c r="CH44" s="111">
        <v>4.6611000000000002</v>
      </c>
    </row>
    <row r="45" spans="79:86" ht="14.5">
      <c r="CA45" s="157" t="s">
        <v>225</v>
      </c>
      <c r="CB45" s="61"/>
      <c r="CC45" s="94">
        <v>0.23200000000000001</v>
      </c>
      <c r="CD45" s="67" t="s">
        <v>237</v>
      </c>
      <c r="CF45" s="102" t="s">
        <v>229</v>
      </c>
      <c r="CG45" s="61" t="s">
        <v>179</v>
      </c>
      <c r="CH45" s="111">
        <v>4.5664999999999996</v>
      </c>
    </row>
    <row r="46" spans="79:86" ht="14.5">
      <c r="CC46" s="94"/>
      <c r="CD46" s="67" t="s">
        <v>238</v>
      </c>
      <c r="CF46" s="102" t="s">
        <v>239</v>
      </c>
      <c r="CG46" s="61" t="s">
        <v>186</v>
      </c>
      <c r="CH46" s="111">
        <v>4.3689999999999998</v>
      </c>
    </row>
    <row r="47" spans="79:86" ht="14.5">
      <c r="CC47" s="94"/>
      <c r="CD47" s="67" t="s">
        <v>240</v>
      </c>
      <c r="CF47" s="102" t="s">
        <v>239</v>
      </c>
      <c r="CG47" s="61" t="s">
        <v>192</v>
      </c>
      <c r="CH47" s="111">
        <v>4.0918000000000001</v>
      </c>
    </row>
    <row r="48" spans="79:86" ht="14.5">
      <c r="CD48" s="67" t="s">
        <v>235</v>
      </c>
      <c r="CF48" s="102" t="s">
        <v>234</v>
      </c>
      <c r="CG48" s="61" t="s">
        <v>241</v>
      </c>
      <c r="CH48" s="111">
        <v>3.9981</v>
      </c>
    </row>
    <row r="49" spans="82:86" ht="14.5">
      <c r="CD49" s="67" t="s">
        <v>234</v>
      </c>
      <c r="CF49" s="102" t="s">
        <v>242</v>
      </c>
      <c r="CG49" s="61" t="s">
        <v>243</v>
      </c>
      <c r="CH49" s="111">
        <v>3.8685999999999998</v>
      </c>
    </row>
    <row r="50" spans="82:86" ht="14.5">
      <c r="CD50" s="67" t="s">
        <v>244</v>
      </c>
      <c r="CF50" s="145" t="s">
        <v>237</v>
      </c>
      <c r="CG50" s="61" t="s">
        <v>245</v>
      </c>
      <c r="CH50" s="111">
        <v>3.8311999999999999</v>
      </c>
    </row>
    <row r="51" spans="82:86" ht="14.5">
      <c r="CD51" s="67" t="s">
        <v>246</v>
      </c>
      <c r="CF51" s="102" t="s">
        <v>234</v>
      </c>
      <c r="CG51" s="61" t="s">
        <v>247</v>
      </c>
      <c r="CH51" s="111">
        <v>3.6583000000000001</v>
      </c>
    </row>
    <row r="52" spans="82:86" ht="14.5">
      <c r="CD52" s="67" t="s">
        <v>248</v>
      </c>
      <c r="CF52" s="145" t="s">
        <v>237</v>
      </c>
      <c r="CG52" s="61" t="s">
        <v>249</v>
      </c>
      <c r="CH52" s="111">
        <v>3.5657000000000001</v>
      </c>
    </row>
    <row r="53" spans="82:86" ht="14.5">
      <c r="CF53" s="102" t="s">
        <v>239</v>
      </c>
      <c r="CG53" s="61" t="s">
        <v>250</v>
      </c>
      <c r="CH53" s="111">
        <v>3.4561999999999999</v>
      </c>
    </row>
    <row r="54" spans="82:86" ht="14.5">
      <c r="CF54" s="102" t="s">
        <v>232</v>
      </c>
      <c r="CG54" s="61" t="s">
        <v>251</v>
      </c>
      <c r="CH54" s="111">
        <v>3.4422000000000001</v>
      </c>
    </row>
    <row r="55" spans="82:86" ht="14.5">
      <c r="CF55" s="67" t="s">
        <v>236</v>
      </c>
      <c r="CG55" s="61" t="s">
        <v>99</v>
      </c>
      <c r="CH55" s="111">
        <v>3.2846000000000002</v>
      </c>
    </row>
    <row r="56" spans="82:86" ht="14.5">
      <c r="CF56" s="67" t="s">
        <v>236</v>
      </c>
      <c r="CG56" s="61" t="s">
        <v>103</v>
      </c>
      <c r="CH56" s="111">
        <v>3.1791999999999998</v>
      </c>
    </row>
    <row r="57" spans="82:86" ht="14.5">
      <c r="CG57" s="61" t="s">
        <v>105</v>
      </c>
      <c r="CH57" s="111">
        <v>3.0880000000000001</v>
      </c>
    </row>
    <row r="58" spans="82:86" ht="14.5">
      <c r="CG58" s="61" t="s">
        <v>133</v>
      </c>
      <c r="CH58" s="111">
        <v>2.8993000000000002</v>
      </c>
    </row>
    <row r="59" spans="82:86" ht="14.5">
      <c r="CG59" s="61" t="s">
        <v>142</v>
      </c>
      <c r="CH59" s="111">
        <v>2.6212</v>
      </c>
    </row>
    <row r="60" spans="82:86" ht="14.5">
      <c r="CG60" s="61" t="s">
        <v>150</v>
      </c>
      <c r="CH60" s="111">
        <v>2.3647999999999998</v>
      </c>
    </row>
    <row r="61" spans="82:86" ht="14.5">
      <c r="CG61" s="61" t="s">
        <v>158</v>
      </c>
      <c r="CH61" s="111">
        <v>1.8503000000000001</v>
      </c>
    </row>
  </sheetData>
  <mergeCells count="11">
    <mergeCell ref="D14:E14"/>
    <mergeCell ref="CA1:CS1"/>
    <mergeCell ref="BQ2:BS2"/>
    <mergeCell ref="CA2:CS2"/>
    <mergeCell ref="CD13:CG13"/>
    <mergeCell ref="CI13:CO13"/>
    <mergeCell ref="C1:Q1"/>
    <mergeCell ref="S1:AB1"/>
    <mergeCell ref="AD1:AN1"/>
    <mergeCell ref="AP1:AX1"/>
    <mergeCell ref="AZ1:BN1"/>
  </mergeCells>
  <conditionalFormatting sqref="DC3:DF28 DH3:DT28">
    <cfRule type="expression" dxfId="0" priority="2">
      <formula>#REF!="Euroz"</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
  <sheetViews>
    <sheetView zoomScaleNormal="100" workbookViewId="0">
      <selection activeCell="E22" sqref="E22"/>
    </sheetView>
  </sheetViews>
  <sheetFormatPr defaultColWidth="8.6328125" defaultRowHeight="14.25" customHeight="1"/>
  <cols>
    <col min="1" max="1" width="12.81640625" customWidth="1"/>
    <col min="2" max="2" width="21" customWidth="1"/>
    <col min="5" max="5" width="34.26953125" customWidth="1"/>
  </cols>
  <sheetData>
    <row r="1" spans="1:5">
      <c r="A1" t="s">
        <v>58</v>
      </c>
      <c r="B1" t="s">
        <v>252</v>
      </c>
      <c r="D1" t="s">
        <v>253</v>
      </c>
      <c r="E1" t="s">
        <v>254</v>
      </c>
    </row>
    <row r="2" spans="1:5">
      <c r="A2" s="158">
        <v>45838</v>
      </c>
      <c r="B2" s="159">
        <v>0</v>
      </c>
      <c r="D2" t="s">
        <v>10</v>
      </c>
      <c r="E2" s="159">
        <f>Performancedata!C7</f>
        <v>3.1903324843437497E-2</v>
      </c>
    </row>
    <row r="3" spans="1:5">
      <c r="A3" s="158">
        <v>45869</v>
      </c>
      <c r="B3" s="159">
        <v>2.6599999999999999E-2</v>
      </c>
      <c r="D3" t="s">
        <v>11</v>
      </c>
      <c r="E3" s="159">
        <f>Performancedata!E7</f>
        <v>0.12002374117176751</v>
      </c>
    </row>
    <row r="4" spans="1:5">
      <c r="A4" s="158">
        <v>45900</v>
      </c>
      <c r="B4" s="159">
        <v>5.04E-2</v>
      </c>
      <c r="D4" t="s">
        <v>60</v>
      </c>
      <c r="E4" s="159">
        <f>Performancedata!D7</f>
        <v>0.12002374117176751</v>
      </c>
    </row>
    <row r="5" spans="1:5">
      <c r="A5" s="158">
        <v>45930</v>
      </c>
      <c r="B5" s="159">
        <v>7.6999999999999999E-2</v>
      </c>
      <c r="D5" t="s">
        <v>81</v>
      </c>
      <c r="E5" s="160">
        <f>Performancedata!H7</f>
        <v>0.40371255294551722</v>
      </c>
    </row>
    <row r="6" spans="1:5" ht="14.25" customHeight="1">
      <c r="A6" s="171">
        <v>45961</v>
      </c>
      <c r="B6" s="159">
        <f>Performancedata!D7</f>
        <v>0.12002374117176751</v>
      </c>
    </row>
  </sheetData>
  <pageMargins left="0.7" right="0.7" top="0.75" bottom="0.75" header="0.511811023622047" footer="0.511811023622047"/>
  <pageSetup paperSize="9" orientation="portrait" horizontalDpi="300" verticalDpi="300"/>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6"/>
  <sheetViews>
    <sheetView zoomScaleNormal="100" workbookViewId="0">
      <selection activeCell="B2" sqref="B2"/>
    </sheetView>
  </sheetViews>
  <sheetFormatPr defaultColWidth="8.6328125" defaultRowHeight="14.25" customHeight="1"/>
  <cols>
    <col min="1" max="1" width="10.26953125" customWidth="1"/>
  </cols>
  <sheetData>
    <row r="1" spans="1:13" ht="14.5">
      <c r="A1" t="s">
        <v>255</v>
      </c>
      <c r="B1" t="s">
        <v>256</v>
      </c>
      <c r="C1" t="s">
        <v>257</v>
      </c>
      <c r="D1" t="s">
        <v>258</v>
      </c>
      <c r="E1" t="s">
        <v>259</v>
      </c>
      <c r="F1" t="s">
        <v>260</v>
      </c>
      <c r="G1" t="s">
        <v>261</v>
      </c>
      <c r="H1" t="s">
        <v>262</v>
      </c>
      <c r="I1" t="s">
        <v>263</v>
      </c>
      <c r="J1" t="s">
        <v>264</v>
      </c>
      <c r="K1" t="s">
        <v>265</v>
      </c>
      <c r="L1" t="s">
        <v>266</v>
      </c>
      <c r="M1" t="s">
        <v>267</v>
      </c>
    </row>
    <row r="2" spans="1:13" ht="14.5">
      <c r="A2" t="s">
        <v>268</v>
      </c>
      <c r="B2" s="160">
        <v>0.1</v>
      </c>
      <c r="C2">
        <v>1</v>
      </c>
    </row>
    <row r="3" spans="1:13" ht="14.5">
      <c r="A3" t="s">
        <v>43</v>
      </c>
      <c r="B3" s="160">
        <v>0.09</v>
      </c>
      <c r="C3">
        <v>2</v>
      </c>
    </row>
    <row r="4" spans="1:13" ht="14.5">
      <c r="A4" t="s">
        <v>45</v>
      </c>
      <c r="B4" s="160">
        <v>0.08</v>
      </c>
      <c r="C4">
        <v>3</v>
      </c>
    </row>
    <row r="5" spans="1:13" ht="14.5">
      <c r="B5" s="160"/>
    </row>
    <row r="6" spans="1:13" ht="14.5">
      <c r="B6" s="160"/>
    </row>
  </sheetData>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
  <sheetViews>
    <sheetView zoomScaleNormal="100" workbookViewId="0">
      <selection activeCell="B7" sqref="B7"/>
    </sheetView>
  </sheetViews>
  <sheetFormatPr defaultColWidth="8.6328125" defaultRowHeight="14.25" customHeight="1"/>
  <cols>
    <col min="1" max="1" width="16.26953125" customWidth="1"/>
    <col min="2" max="2" width="30.7265625" customWidth="1"/>
  </cols>
  <sheetData>
    <row r="1" spans="1:4">
      <c r="A1" t="s">
        <v>269</v>
      </c>
      <c r="B1" t="s">
        <v>254</v>
      </c>
      <c r="C1" t="s">
        <v>258</v>
      </c>
      <c r="D1" t="s">
        <v>259</v>
      </c>
    </row>
    <row r="2" spans="1:4">
      <c r="A2" t="s">
        <v>41</v>
      </c>
      <c r="B2" s="159">
        <v>2.6599999999999999E-2</v>
      </c>
    </row>
    <row r="3" spans="1:4">
      <c r="A3" t="s">
        <v>42</v>
      </c>
      <c r="B3" s="159">
        <v>2.3183323592441001E-2</v>
      </c>
    </row>
    <row r="4" spans="1:4">
      <c r="A4" t="s">
        <v>44</v>
      </c>
      <c r="B4" s="159">
        <v>3.16591063999812E-2</v>
      </c>
    </row>
    <row r="5" spans="1:4">
      <c r="A5" t="s">
        <v>46</v>
      </c>
      <c r="B5" s="159">
        <v>6.9610812276816904E-3</v>
      </c>
    </row>
    <row r="6" spans="1:4">
      <c r="A6" t="s">
        <v>47</v>
      </c>
      <c r="B6" s="159">
        <v>3</v>
      </c>
    </row>
    <row r="7" spans="1:4">
      <c r="A7" t="s">
        <v>48</v>
      </c>
      <c r="B7" s="159" t="s">
        <v>49</v>
      </c>
    </row>
    <row r="8" spans="1:4">
      <c r="A8" t="s">
        <v>50</v>
      </c>
      <c r="B8" s="159">
        <v>0</v>
      </c>
    </row>
    <row r="9" spans="1:4">
      <c r="A9" t="s">
        <v>51</v>
      </c>
      <c r="B9" s="159">
        <v>0</v>
      </c>
    </row>
    <row r="10" spans="1:4">
      <c r="A10" t="s">
        <v>52</v>
      </c>
      <c r="B10" s="161">
        <v>6.2695981744531698E-2</v>
      </c>
    </row>
  </sheetData>
  <pageMargins left="0.7" right="0.7" top="0.75" bottom="0.75"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0"/>
  <sheetViews>
    <sheetView zoomScaleNormal="100" workbookViewId="0">
      <selection activeCell="C2" sqref="C2"/>
    </sheetView>
  </sheetViews>
  <sheetFormatPr defaultColWidth="8.6328125" defaultRowHeight="14.25" customHeight="1"/>
  <cols>
    <col min="1" max="1" width="23.26953125" customWidth="1"/>
    <col min="2" max="2" width="30.26953125" customWidth="1"/>
  </cols>
  <sheetData>
    <row r="1" spans="1:2" ht="26.5">
      <c r="A1" s="162" t="s">
        <v>269</v>
      </c>
      <c r="B1" s="162" t="s">
        <v>254</v>
      </c>
    </row>
    <row r="2" spans="1:2" ht="24">
      <c r="A2" s="163" t="str">
        <f>Newsletter!AC126</f>
        <v>Universe</v>
      </c>
      <c r="B2" s="40" t="str">
        <f>Newsletter!AF126</f>
        <v>Global</v>
      </c>
    </row>
    <row r="3" spans="1:2" ht="24">
      <c r="A3" s="163" t="str">
        <f>Newsletter!AC127</f>
        <v>Holdings</v>
      </c>
      <c r="B3" s="40" t="str">
        <f>Newsletter!AF127</f>
        <v>5-20</v>
      </c>
    </row>
    <row r="4" spans="1:2" ht="24">
      <c r="A4" s="163" t="str">
        <f>Newsletter!AC128</f>
        <v>Target</v>
      </c>
      <c r="B4" s="40" t="str">
        <f>Newsletter!AF128</f>
        <v>&gt;10% net p.a.</v>
      </c>
    </row>
    <row r="5" spans="1:2" ht="24">
      <c r="A5" s="163" t="str">
        <f>Newsletter!AC129</f>
        <v>Min Investment</v>
      </c>
      <c r="B5" s="40" t="str">
        <f>Newsletter!AF129</f>
        <v>$100k</v>
      </c>
    </row>
    <row r="6" spans="1:2" ht="24">
      <c r="A6" s="163" t="str">
        <f>Newsletter!AC130</f>
        <v>Mgmt. Fee</v>
      </c>
      <c r="B6" s="40">
        <f>Newsletter!AF130</f>
        <v>0.01</v>
      </c>
    </row>
    <row r="7" spans="1:2" ht="24">
      <c r="A7" s="163" t="str">
        <f>Newsletter!AC131</f>
        <v>Perf. Fee</v>
      </c>
      <c r="B7" s="40">
        <f>Newsletter!AF131</f>
        <v>0.2</v>
      </c>
    </row>
    <row r="8" spans="1:2" ht="24">
      <c r="A8" s="163" t="str">
        <f>Newsletter!AC132</f>
        <v>APIR</v>
      </c>
      <c r="B8" s="40" t="str">
        <f>Newsletter!AF132</f>
        <v>NCC5451AU</v>
      </c>
    </row>
    <row r="9" spans="1:2" ht="24">
      <c r="A9" s="163" t="str">
        <f>Newsletter!AC133</f>
        <v>Vehicle</v>
      </c>
      <c r="B9" s="40" t="str">
        <f>Newsletter!AF133</f>
        <v>Wholesale Unit Trust</v>
      </c>
    </row>
    <row r="10" spans="1:2" ht="24">
      <c r="A10" s="163" t="str">
        <f>Newsletter!AC134</f>
        <v>PM</v>
      </c>
      <c r="B10" s="40" t="str">
        <f>Newsletter!AF134</f>
        <v>Hayden Beamish</v>
      </c>
    </row>
  </sheetData>
  <pageMargins left="0.7" right="0.7" top="0.75" bottom="0.75"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20"/>
  <sheetViews>
    <sheetView tabSelected="1" zoomScaleNormal="100" workbookViewId="0">
      <selection activeCell="B4" sqref="B4"/>
    </sheetView>
  </sheetViews>
  <sheetFormatPr defaultColWidth="8.6328125" defaultRowHeight="14.25" customHeight="1"/>
  <cols>
    <col min="1" max="1" width="11.08984375" customWidth="1"/>
    <col min="4" max="4" width="9.7265625" customWidth="1"/>
    <col min="5" max="5" width="17.81640625" customWidth="1"/>
    <col min="7" max="7" width="17.453125" customWidth="1"/>
    <col min="8" max="8" width="34.453125" customWidth="1"/>
    <col min="9" max="9" width="45.81640625" customWidth="1"/>
  </cols>
  <sheetData>
    <row r="1" spans="1:9">
      <c r="A1" s="164" t="s">
        <v>269</v>
      </c>
      <c r="B1" s="164" t="s">
        <v>254</v>
      </c>
      <c r="D1" s="164" t="s">
        <v>270</v>
      </c>
      <c r="E1" s="164" t="s">
        <v>254</v>
      </c>
      <c r="G1" s="164" t="s">
        <v>270</v>
      </c>
      <c r="H1" s="164" t="s">
        <v>254</v>
      </c>
      <c r="I1" s="164" t="s">
        <v>271</v>
      </c>
    </row>
    <row r="2" spans="1:9">
      <c r="A2" t="s">
        <v>272</v>
      </c>
      <c r="B2" s="160">
        <v>1.2</v>
      </c>
      <c r="D2" s="93" t="s">
        <v>98</v>
      </c>
      <c r="E2">
        <v>-9.4202476255335704E-2</v>
      </c>
      <c r="G2" t="s">
        <v>273</v>
      </c>
      <c r="H2">
        <v>0.84</v>
      </c>
      <c r="I2" t="s">
        <v>214</v>
      </c>
    </row>
    <row r="3" spans="1:9">
      <c r="A3" t="s">
        <v>274</v>
      </c>
      <c r="B3" s="160">
        <v>-0.2</v>
      </c>
      <c r="D3" s="123" t="s">
        <v>101</v>
      </c>
      <c r="E3">
        <v>3.2630110838609001E-3</v>
      </c>
      <c r="G3" t="s">
        <v>275</v>
      </c>
      <c r="H3">
        <v>0.11</v>
      </c>
      <c r="I3" t="s">
        <v>215</v>
      </c>
    </row>
    <row r="4" spans="1:9">
      <c r="A4" t="s">
        <v>276</v>
      </c>
      <c r="B4" s="160">
        <v>1</v>
      </c>
      <c r="D4" s="123" t="s">
        <v>102</v>
      </c>
      <c r="E4">
        <v>2.29767033734125E-2</v>
      </c>
      <c r="G4" t="s">
        <v>277</v>
      </c>
      <c r="H4">
        <v>0</v>
      </c>
      <c r="I4" t="s">
        <v>216</v>
      </c>
    </row>
    <row r="5" spans="1:9">
      <c r="D5" s="123" t="s">
        <v>104</v>
      </c>
      <c r="E5">
        <v>3.7642043534237397E-2</v>
      </c>
      <c r="G5" t="s">
        <v>278</v>
      </c>
      <c r="H5">
        <v>0</v>
      </c>
      <c r="I5" t="s">
        <v>217</v>
      </c>
    </row>
    <row r="6" spans="1:9">
      <c r="D6" s="123" t="s">
        <v>132</v>
      </c>
      <c r="E6">
        <v>5.0220508801887297E-2</v>
      </c>
      <c r="G6" t="s">
        <v>279</v>
      </c>
      <c r="H6">
        <v>0.05</v>
      </c>
      <c r="I6" t="s">
        <v>218</v>
      </c>
    </row>
    <row r="7" spans="1:9">
      <c r="D7" s="123"/>
    </row>
    <row r="8" spans="1:9">
      <c r="D8" s="93" t="s">
        <v>141</v>
      </c>
      <c r="E8">
        <v>9.2667684667137804E-2</v>
      </c>
    </row>
    <row r="9" spans="1:9">
      <c r="D9" s="93" t="s">
        <v>149</v>
      </c>
      <c r="E9">
        <v>0.19894070954856899</v>
      </c>
    </row>
    <row r="10" spans="1:9">
      <c r="D10" s="135" t="s">
        <v>157</v>
      </c>
      <c r="E10">
        <v>0.68849181524623104</v>
      </c>
    </row>
    <row r="13" spans="1:9">
      <c r="D13" s="93"/>
      <c r="E13" s="94"/>
      <c r="F13" s="95"/>
    </row>
    <row r="14" spans="1:9">
      <c r="D14" s="123"/>
      <c r="E14" s="124"/>
      <c r="F14" s="125"/>
    </row>
    <row r="15" spans="1:9">
      <c r="D15" s="123"/>
      <c r="E15" s="94"/>
      <c r="F15" s="125"/>
    </row>
    <row r="16" spans="1:9">
      <c r="D16" s="123"/>
      <c r="E16" s="94"/>
      <c r="F16" s="125"/>
    </row>
    <row r="17" spans="4:6">
      <c r="D17" s="123"/>
      <c r="E17" s="94"/>
      <c r="F17" s="125"/>
    </row>
    <row r="18" spans="4:6">
      <c r="D18" s="93"/>
      <c r="E18" s="94"/>
      <c r="F18" s="95"/>
    </row>
    <row r="19" spans="4:6">
      <c r="D19" s="93"/>
      <c r="E19" s="94"/>
      <c r="F19" s="95"/>
    </row>
    <row r="20" spans="4:6">
      <c r="D20" s="135"/>
      <c r="E20" s="94"/>
      <c r="F20" s="125"/>
    </row>
  </sheetData>
  <pageMargins left="0.7" right="0.7" top="0.75" bottom="0.75" header="0.511811023622047" footer="0.511811023622047"/>
  <pageSetup paperSize="9" orientation="portrait" horizontalDpi="300" verticalDpi="300"/>
  <tableParts count="3">
    <tablePart r:id="rId1"/>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2"/>
  <sheetViews>
    <sheetView zoomScaleNormal="100" workbookViewId="0"/>
  </sheetViews>
  <sheetFormatPr defaultColWidth="8.6328125" defaultRowHeight="14.25" customHeight="1"/>
  <cols>
    <col min="1" max="1" width="12" customWidth="1"/>
    <col min="2" max="2" width="30.7265625" customWidth="1"/>
  </cols>
  <sheetData>
    <row r="1" spans="1:2" ht="14.5">
      <c r="A1" s="164" t="s">
        <v>269</v>
      </c>
      <c r="B1" s="164" t="s">
        <v>280</v>
      </c>
    </row>
    <row r="2" spans="1:2" ht="90">
      <c r="A2" s="165" t="s">
        <v>281</v>
      </c>
      <c r="B2" s="166" t="s">
        <v>282</v>
      </c>
    </row>
    <row r="3" spans="1:2" ht="90">
      <c r="A3" t="s">
        <v>283</v>
      </c>
      <c r="B3" s="166" t="s">
        <v>284</v>
      </c>
    </row>
    <row r="4" spans="1:2" ht="117">
      <c r="A4" t="s">
        <v>285</v>
      </c>
      <c r="B4" s="166" t="s">
        <v>286</v>
      </c>
    </row>
    <row r="5" spans="1:2" ht="117">
      <c r="A5" t="s">
        <v>287</v>
      </c>
      <c r="B5" s="166" t="s">
        <v>288</v>
      </c>
    </row>
    <row r="8" spans="1:2" ht="23">
      <c r="A8" s="167"/>
    </row>
    <row r="9" spans="1:2" ht="14.5">
      <c r="A9" s="168"/>
    </row>
    <row r="10" spans="1:2" ht="14.5">
      <c r="A10" s="166"/>
    </row>
    <row r="11" spans="1:2" ht="14.5">
      <c r="A11" s="169"/>
    </row>
    <row r="12" spans="1:2" ht="23">
      <c r="A12" s="167"/>
    </row>
    <row r="13" spans="1:2" ht="14.5">
      <c r="A13" s="168"/>
    </row>
    <row r="14" spans="1:2" ht="14.5">
      <c r="A14" s="166"/>
    </row>
    <row r="15" spans="1:2" ht="14.5">
      <c r="A15" s="169"/>
    </row>
    <row r="16" spans="1:2" ht="23">
      <c r="A16" s="167"/>
    </row>
    <row r="17" spans="1:1" ht="14.5">
      <c r="A17" s="168"/>
    </row>
    <row r="18" spans="1:1" ht="14.5">
      <c r="A18" s="166"/>
    </row>
    <row r="19" spans="1:1" ht="14.5">
      <c r="A19" s="169"/>
    </row>
    <row r="20" spans="1:1" ht="23">
      <c r="A20" s="167"/>
    </row>
    <row r="21" spans="1:1" ht="14.5">
      <c r="A21" s="168"/>
    </row>
    <row r="22" spans="1:1" ht="14.5">
      <c r="A22" s="166"/>
    </row>
  </sheetData>
  <pageMargins left="0.7" right="0.7" top="0.75" bottom="0.75" header="0.511811023622047" footer="0.511811023622047"/>
  <pageSetup paperSize="9" orientation="portrait" horizontalDpi="300" verticalDpi="30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d6d0250-26e6-4018-96cc-9d4b267bf602">
      <Terms xmlns="http://schemas.microsoft.com/office/infopath/2007/PartnerControls"/>
    </lcf76f155ced4ddcb4097134ff3c332f>
    <TaxCatchAll xmlns="ba7ac31c-47df-4cec-a670-87c4a6b08e03" xsi:nil="true"/>
    <MediaLengthInSeconds xmlns="cd6d0250-26e6-4018-96cc-9d4b267bf602" xsi:nil="true"/>
  </documentManagement>
</p:properties>
</file>

<file path=customXml/itemProps1.xml><?xml version="1.0" encoding="utf-8"?>
<ds:datastoreItem xmlns:ds="http://schemas.openxmlformats.org/officeDocument/2006/customXml" ds:itemID="{3CDF4DAF-E893-439E-B96A-FDDC553C23F6}">
  <ds:schemaRefs>
    <ds:schemaRef ds:uri="http://schemas.microsoft.com/office/2006/metadata/properties"/>
    <ds:schemaRef ds:uri="http://schemas.microsoft.com/office/infopath/2007/PartnerControls"/>
    <ds:schemaRef ds:uri="cd6d0250-26e6-4018-96cc-9d4b267bf602"/>
    <ds:schemaRef ds:uri="ba7ac31c-47df-4cec-a670-87c4a6b08e03"/>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7</vt:i4>
      </vt:variant>
    </vt:vector>
  </HeadingPairs>
  <TitlesOfParts>
    <vt:vector size="16" baseType="lpstr">
      <vt:lpstr>Instructions - New month</vt:lpstr>
      <vt:lpstr>Newsletter</vt:lpstr>
      <vt:lpstr>Performancedata</vt:lpstr>
      <vt:lpstr>Performance</vt:lpstr>
      <vt:lpstr>Holdings</vt:lpstr>
      <vt:lpstr>Stats</vt:lpstr>
      <vt:lpstr>TheFund</vt:lpstr>
      <vt:lpstr>Exposure</vt:lpstr>
      <vt:lpstr>Text</vt:lpstr>
      <vt:lpstr>MarketCapExposureTable</vt:lpstr>
      <vt:lpstr>NetExposureTable</vt:lpstr>
      <vt:lpstr>PerformanceChartTable</vt:lpstr>
      <vt:lpstr>SectorExposureTable</vt:lpstr>
      <vt:lpstr>Statisticstable</vt:lpstr>
      <vt:lpstr>TextBlocksTable</vt:lpstr>
      <vt:lpstr>TheFundTable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Hayden Beamish</dc:creator>
  <cp:lastModifiedBy>Hayden Beamish</cp:lastModifiedBy>
  <dcterms:created xsi:type="dcterms:W3CDTF">2025-11-10T23:33:01Z</dcterms:created>
  <dcterms:modified xsi:type="dcterms:W3CDTF">2025-11-10T23:33:01Z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2022-10-14T09:37:34Z</dcterms:created>
  <dc:creator>Joe Carlton</dc:creator>
  <dc:description/>
  <dc:language>en-IN</dc:language>
  <cp:lastModifiedBy>Guest User</cp:lastModifiedBy>
  <dcterms:modified xsi:type="dcterms:W3CDTF">2025-10-01T09:49:37Z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0x010100693564D6C4D0CB46BB0B3867B66CB08A</vt:lpwstr>
  </property>
  <property fmtid="{D5CDD505-2E9C-101B-9397-08002B2CF9AE}" pid="4" name="GUID">
    <vt:lpwstr>165314a3-5b25-4ee0-8565-d3f5b285e681</vt:lpwstr>
  </property>
  <property fmtid="{D5CDD505-2E9C-101B-9397-08002B2CF9AE}" pid="5" name="MediaServiceImageTags">
    <vt:lpwstr/>
  </property>
  <property fmtid="{D5CDD505-2E9C-101B-9397-08002B2CF9AE}" pid="6" name="TemplateUrl">
    <vt:lpwstr/>
  </property>
  <property fmtid="{D5CDD505-2E9C-101B-9397-08002B2CF9AE}" pid="7" name="TriggerFlowInfo">
    <vt:lpwstr/>
  </property>
  <property fmtid="{D5CDD505-2E9C-101B-9397-08002B2CF9AE}" pid="8" name="_ExtendedDescription">
    <vt:lpwstr/>
  </property>
  <property fmtid="{D5CDD505-2E9C-101B-9397-08002B2CF9AE}" pid="9" name="xd_ProgID">
    <vt:lpwstr/>
  </property>
  <property fmtid="{D5CDD505-2E9C-101B-9397-08002B2CF9AE}" pid="10" name="xd_Signature">
    <vt:lpwstr/>
  </property>
</Properties>
</file>