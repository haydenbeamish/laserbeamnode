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laserbeamptyltd.sharepoint.com/sites/LaserBeamCapital2/Shared Documents/Data/"/>
    </mc:Choice>
  </mc:AlternateContent>
  <xr:revisionPtr revIDLastSave="70" documentId="8_{5F60E2F0-575E-4A08-ABF9-32171979650C}" xr6:coauthVersionLast="47" xr6:coauthVersionMax="47" xr10:uidLastSave="{D3846E66-0833-42E9-B398-76C1D1672FB9}"/>
  <bookViews>
    <workbookView xWindow="21228" yWindow="972" windowWidth="24864" windowHeight="23628" tabRatio="500" firstSheet="2" activeTab="4" xr2:uid="{00000000-000D-0000-FFFF-FFFF00000000}"/>
  </bookViews>
  <sheets>
    <sheet name="Instructions - New month" sheetId="1" state="hidden" r:id="rId1"/>
    <sheet name="Newsletter" sheetId="2" r:id="rId2"/>
    <sheet name="Performancedata" sheetId="3" r:id="rId3"/>
    <sheet name="Performance" sheetId="5" r:id="rId4"/>
    <sheet name="Holdings" sheetId="6" r:id="rId5"/>
    <sheet name="Stats" sheetId="7" r:id="rId6"/>
    <sheet name="TheFund" sheetId="8" r:id="rId7"/>
    <sheet name="Exposure" sheetId="9" r:id="rId8"/>
    <sheet name="Text" sheetId="10" r:id="rId9"/>
  </sheets>
  <externalReferences>
    <externalReference r:id="rId10"/>
    <externalReference r:id="rId11"/>
  </externalReferences>
  <definedNames>
    <definedName name="_xleta.GROWTH" hidden="1">#NAME?</definedName>
    <definedName name="Date_updated">Performance!$G$1:$G$2</definedName>
    <definedName name="MarketCapExposureTable">Exposure!$G$1:$I$6</definedName>
    <definedName name="NetExposureTable">Exposure!$A$1:$B$4</definedName>
    <definedName name="PerformanceChartTable">Table1[#All]</definedName>
    <definedName name="SectorExposureTable">Exposure!$D$1:$E$10</definedName>
    <definedName name="Statisticstable">Stats!$A$1:$B$10</definedName>
    <definedName name="TextBlocksTable">Text!$A$1:$B$5</definedName>
    <definedName name="TheFundTable">TheFund!$A$1:$B$10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6" i="9" l="1"/>
  <c r="E5" i="9"/>
  <c r="B4" i="9"/>
  <c r="CK8" i="3"/>
  <c r="BY8" i="3"/>
  <c r="BT8" i="3"/>
  <c r="BS8" i="3"/>
  <c r="BR8" i="3"/>
  <c r="BQ8" i="3"/>
  <c r="BI8" i="3"/>
  <c r="AW8" i="3"/>
  <c r="AF8" i="3"/>
  <c r="R8" i="3"/>
  <c r="B8" i="3"/>
  <c r="C8" i="3" s="1"/>
  <c r="E2" i="5" s="1"/>
  <c r="CK7" i="3"/>
  <c r="BY7" i="3"/>
  <c r="BT7" i="3"/>
  <c r="BS7" i="3"/>
  <c r="BR7" i="3"/>
  <c r="BQ7" i="3"/>
  <c r="BI7" i="3"/>
  <c r="AF7" i="3"/>
  <c r="AW7" i="3" s="1"/>
  <c r="R7" i="3"/>
  <c r="S7" i="3" s="1"/>
  <c r="B7" i="3"/>
  <c r="C7" i="3" s="1"/>
  <c r="CK6" i="3"/>
  <c r="BY6" i="3"/>
  <c r="BR6" i="3"/>
  <c r="BQ6" i="3"/>
  <c r="BP6" i="3"/>
  <c r="BT6" i="3" s="1"/>
  <c r="BO6" i="3"/>
  <c r="BS6" i="3" s="1"/>
  <c r="BI6" i="3"/>
  <c r="AF6" i="3"/>
  <c r="AG6" i="3" s="1"/>
  <c r="AI6" i="3" s="1"/>
  <c r="AJ6" i="3" s="1"/>
  <c r="R6" i="3"/>
  <c r="C6" i="3"/>
  <c r="CK5" i="3"/>
  <c r="CC5" i="3" a="1"/>
  <c r="CC5" i="3" s="1"/>
  <c r="CB5" i="3"/>
  <c r="BY5" i="3"/>
  <c r="BT5" i="3"/>
  <c r="BS5" i="3"/>
  <c r="BR5" i="3"/>
  <c r="BQ5" i="3"/>
  <c r="BP5" i="3"/>
  <c r="BO5" i="3"/>
  <c r="BI5" i="3"/>
  <c r="AW5" i="3"/>
  <c r="AF5" i="3"/>
  <c r="R5" i="3"/>
  <c r="N5" i="3"/>
  <c r="M5" i="3"/>
  <c r="C5" i="3"/>
  <c r="AG5" i="3" s="1"/>
  <c r="AI5" i="3" s="1"/>
  <c r="AJ5" i="3" s="1"/>
  <c r="CK4" i="3"/>
  <c r="BY4" i="3"/>
  <c r="BU4" i="3"/>
  <c r="BS4" i="3"/>
  <c r="BR4" i="3"/>
  <c r="BQ4" i="3"/>
  <c r="BP4" i="3"/>
  <c r="BT4" i="3" s="1"/>
  <c r="BV6" i="3" s="1"/>
  <c r="BO4" i="3"/>
  <c r="BI4" i="3"/>
  <c r="BJ4" i="3" s="1"/>
  <c r="AF4" i="3"/>
  <c r="AW4" i="3" s="1"/>
  <c r="R4" i="3"/>
  <c r="C4" i="3"/>
  <c r="I6" i="3" s="1"/>
  <c r="CK3" i="3"/>
  <c r="BY3" i="3"/>
  <c r="R3" i="3"/>
  <c r="CI4" i="3" a="1"/>
  <c r="CI7" i="3" a="1"/>
  <c r="CI5" i="3" a="1"/>
  <c r="CI8" i="3" a="1"/>
  <c r="CI6" i="3" a="1"/>
  <c r="CI3" i="3" a="1"/>
  <c r="S4" i="3" l="1"/>
  <c r="S5" i="3"/>
  <c r="S6" i="3"/>
  <c r="AV6" i="3" s="1"/>
  <c r="CI6" i="3"/>
  <c r="CI7" i="3"/>
  <c r="CI3" i="3"/>
  <c r="CI8" i="3"/>
  <c r="CI5" i="3"/>
  <c r="CI4" i="3"/>
  <c r="AX6" i="3"/>
  <c r="AY6" i="3" s="1"/>
  <c r="BB6" i="3"/>
  <c r="AV5" i="3"/>
  <c r="P6" i="3"/>
  <c r="W4" i="3"/>
  <c r="BU7" i="3"/>
  <c r="BU5" i="3"/>
  <c r="AV7" i="3"/>
  <c r="X4" i="3"/>
  <c r="X7" i="3"/>
  <c r="AS5" i="3" a="1"/>
  <c r="AS5" i="3" s="1"/>
  <c r="W6" i="3"/>
  <c r="BU6" i="3"/>
  <c r="AP4" i="3"/>
  <c r="J4" i="3"/>
  <c r="AQ4" i="3"/>
  <c r="AA5" i="3"/>
  <c r="BJ5" i="3"/>
  <c r="BJ7" i="3"/>
  <c r="O4" i="3"/>
  <c r="AW6" i="3"/>
  <c r="AG7" i="3"/>
  <c r="AI7" i="3" s="1"/>
  <c r="AJ7" i="3" s="1"/>
  <c r="E7" i="3"/>
  <c r="AB6" i="3"/>
  <c r="O6" i="3"/>
  <c r="AV4" i="3"/>
  <c r="P7" i="3"/>
  <c r="O7" i="3"/>
  <c r="W5" i="3"/>
  <c r="X6" i="3"/>
  <c r="AQ7" i="3"/>
  <c r="AA6" i="3"/>
  <c r="X5" i="3"/>
  <c r="T4" i="3"/>
  <c r="V4" i="3" s="1"/>
  <c r="AP7" i="3"/>
  <c r="AB7" i="3"/>
  <c r="AA7" i="3"/>
  <c r="W7" i="3"/>
  <c r="AA4" i="3"/>
  <c r="AS6" i="3" a="1"/>
  <c r="AS6" i="3" s="1"/>
  <c r="P5" i="3"/>
  <c r="AB5" i="3"/>
  <c r="O5" i="3"/>
  <c r="AS7" i="3" a="1"/>
  <c r="AS7" i="3" s="1"/>
  <c r="AR6" i="3" a="1"/>
  <c r="AR6" i="3" s="1"/>
  <c r="Q6" i="3"/>
  <c r="AB4" i="3"/>
  <c r="BV7" i="3"/>
  <c r="BV8" i="3"/>
  <c r="BV5" i="3"/>
  <c r="CC7" i="3" a="1"/>
  <c r="CC7" i="3" s="1"/>
  <c r="CB7" i="3" s="1"/>
  <c r="CC4" i="3" a="1"/>
  <c r="CC4" i="3" s="1"/>
  <c r="CB4" i="3" s="1"/>
  <c r="CC8" i="3" a="1"/>
  <c r="CC8" i="3" s="1"/>
  <c r="CB8" i="3" s="1"/>
  <c r="CC6" i="3" a="1"/>
  <c r="CC6" i="3" s="1"/>
  <c r="CB6" i="3" s="1"/>
  <c r="E8" i="3"/>
  <c r="E3" i="5" s="1"/>
  <c r="AG8" i="3"/>
  <c r="AI8" i="3" s="1"/>
  <c r="AJ8" i="3" s="1"/>
  <c r="I8" i="3"/>
  <c r="AR7" i="3" a="1"/>
  <c r="AR7" i="3" s="1"/>
  <c r="Q7" i="3"/>
  <c r="AP6" i="3"/>
  <c r="I4" i="3"/>
  <c r="N6" i="3"/>
  <c r="M6" i="3"/>
  <c r="N7" i="3"/>
  <c r="AR4" i="3" a="1"/>
  <c r="AR4" i="3" s="1"/>
  <c r="J5" i="3"/>
  <c r="AS4" i="3" a="1"/>
  <c r="AS4" i="3" s="1"/>
  <c r="I5" i="3"/>
  <c r="M7" i="3"/>
  <c r="AG4" i="3"/>
  <c r="Q4" i="3"/>
  <c r="D4" i="3"/>
  <c r="N8" i="3"/>
  <c r="J7" i="3"/>
  <c r="AR5" i="3" a="1"/>
  <c r="AR5" i="3" s="1"/>
  <c r="Q5" i="3"/>
  <c r="N4" i="3"/>
  <c r="M8" i="3"/>
  <c r="I7" i="3"/>
  <c r="AQ5" i="3"/>
  <c r="M4" i="3"/>
  <c r="AP5" i="3"/>
  <c r="J8" i="3"/>
  <c r="BV4" i="3"/>
  <c r="AQ6" i="3"/>
  <c r="E6" i="3"/>
  <c r="S8" i="3"/>
  <c r="P4" i="3"/>
  <c r="J6" i="3"/>
  <c r="BU8" i="3"/>
  <c r="E5" i="3"/>
  <c r="BJ6" i="3"/>
  <c r="BJ8" i="3"/>
  <c r="H18" i="2"/>
  <c r="AV8" i="3" l="1"/>
  <c r="Z8" i="3" s="1"/>
  <c r="T5" i="3"/>
  <c r="AX5" i="3"/>
  <c r="AY5" i="3" s="1"/>
  <c r="BB5" i="3"/>
  <c r="P8" i="3"/>
  <c r="AK8" i="3" a="1"/>
  <c r="AK8" i="3" s="1"/>
  <c r="AM5" i="3"/>
  <c r="AO5" i="3" s="1"/>
  <c r="L5" i="3"/>
  <c r="AK4" i="3" a="1"/>
  <c r="AK4" i="3" s="1"/>
  <c r="AI4" i="3"/>
  <c r="AJ4" i="3" s="1"/>
  <c r="AK5" i="3" a="1"/>
  <c r="AK5" i="3" s="1"/>
  <c r="AN7" i="3"/>
  <c r="L7" i="3"/>
  <c r="AN6" i="3"/>
  <c r="AM6" i="3"/>
  <c r="AO6" i="3" s="1"/>
  <c r="L6" i="3"/>
  <c r="AM7" i="3"/>
  <c r="AN8" i="3"/>
  <c r="AK7" i="3" a="1"/>
  <c r="AK7" i="3" s="1"/>
  <c r="AN4" i="3"/>
  <c r="AM8" i="3"/>
  <c r="AO8" i="3" s="1"/>
  <c r="L8" i="3"/>
  <c r="AM4" i="3"/>
  <c r="AO4" i="3" s="1"/>
  <c r="L4" i="3"/>
  <c r="AN5" i="3"/>
  <c r="AK6" i="3" a="1"/>
  <c r="AK6" i="3" s="1"/>
  <c r="AA8" i="3"/>
  <c r="AQ8" i="3"/>
  <c r="BB7" i="3"/>
  <c r="AX7" i="3"/>
  <c r="AY7" i="3" s="1"/>
  <c r="H4" i="3"/>
  <c r="F4" i="3"/>
  <c r="G4" i="3"/>
  <c r="AH4" i="3" s="1"/>
  <c r="W8" i="3"/>
  <c r="AP8" i="3"/>
  <c r="AR8" i="3" a="1"/>
  <c r="AR8" i="3" s="1"/>
  <c r="O8" i="3"/>
  <c r="D5" i="3"/>
  <c r="Q8" i="3"/>
  <c r="AB8" i="3"/>
  <c r="AS8" i="3" a="1"/>
  <c r="AS8" i="3" s="1"/>
  <c r="X8" i="3"/>
  <c r="BC7" i="3"/>
  <c r="BD7" i="3" s="1"/>
  <c r="AZ6" i="3" a="1"/>
  <c r="AZ6" i="3" s="1"/>
  <c r="Z6" i="3"/>
  <c r="BC8" i="3"/>
  <c r="BD8" i="3" s="1"/>
  <c r="AZ7" i="3" a="1"/>
  <c r="AZ7" i="3" s="1"/>
  <c r="Z7" i="3"/>
  <c r="BC4" i="3"/>
  <c r="BD4" i="3" s="1"/>
  <c r="BC5" i="3"/>
  <c r="BD5" i="3" s="1"/>
  <c r="AZ8" i="3" a="1"/>
  <c r="AZ8" i="3" s="1"/>
  <c r="AZ4" i="3" a="1"/>
  <c r="AZ4" i="3" s="1"/>
  <c r="Z4" i="3"/>
  <c r="BC6" i="3"/>
  <c r="BD6" i="3" s="1"/>
  <c r="AZ5" i="3" a="1"/>
  <c r="AZ5" i="3" s="1"/>
  <c r="BB4" i="3"/>
  <c r="AX4" i="3"/>
  <c r="AY4" i="3" s="1"/>
  <c r="Z5" i="3"/>
  <c r="J18" i="2"/>
  <c r="B10" i="8"/>
  <c r="A10" i="8"/>
  <c r="B9" i="8"/>
  <c r="A9" i="8"/>
  <c r="B8" i="8"/>
  <c r="A8" i="8"/>
  <c r="B7" i="8"/>
  <c r="A7" i="8"/>
  <c r="B6" i="8"/>
  <c r="A6" i="8"/>
  <c r="B5" i="8"/>
  <c r="A5" i="8"/>
  <c r="B4" i="8"/>
  <c r="A4" i="8"/>
  <c r="B3" i="8"/>
  <c r="A3" i="8"/>
  <c r="B2" i="8"/>
  <c r="A2" i="8"/>
  <c r="CB29" i="3"/>
  <c r="CC21" i="3"/>
  <c r="CC19" i="3"/>
  <c r="BS14" i="3"/>
  <c r="CQ12" i="3"/>
  <c r="CR12" i="3" s="1"/>
  <c r="CP12" i="3"/>
  <c r="CB12" i="3"/>
  <c r="CQ11" i="3"/>
  <c r="CR11" i="3" s="1"/>
  <c r="CP11" i="3"/>
  <c r="CB11" i="3"/>
  <c r="CJ10" i="3"/>
  <c r="CQ10" i="3" s="1"/>
  <c r="CR10" i="3" s="1"/>
  <c r="CF10" i="3"/>
  <c r="CE10" i="3"/>
  <c r="CD10" i="3"/>
  <c r="CB10" i="3"/>
  <c r="CJ9" i="3"/>
  <c r="CQ9" i="3" s="1"/>
  <c r="CR9" i="3" s="1"/>
  <c r="CF9" i="3"/>
  <c r="CE9" i="3"/>
  <c r="CD9" i="3"/>
  <c r="CB9" i="3"/>
  <c r="CS9" i="3"/>
  <c r="CS10" i="3" s="1"/>
  <c r="CS11" i="3" s="1"/>
  <c r="CS12" i="3" s="1"/>
  <c r="CC20" i="3"/>
  <c r="V134" i="2"/>
  <c r="V120" i="2"/>
  <c r="V118" i="2"/>
  <c r="AO7" i="3" l="1"/>
  <c r="AL5" i="3"/>
  <c r="K5" i="3"/>
  <c r="K4" i="3"/>
  <c r="AL4" i="3"/>
  <c r="Y5" i="3"/>
  <c r="BA5" i="3"/>
  <c r="AL8" i="3"/>
  <c r="K8" i="3"/>
  <c r="Y8" i="3"/>
  <c r="BA8" i="3"/>
  <c r="H5" i="3"/>
  <c r="G5" i="3"/>
  <c r="AH5" i="3" s="1"/>
  <c r="D6" i="3"/>
  <c r="F5" i="3"/>
  <c r="Y7" i="3"/>
  <c r="BA7" i="3"/>
  <c r="BA6" i="3"/>
  <c r="Y6" i="3"/>
  <c r="AL7" i="3"/>
  <c r="K7" i="3"/>
  <c r="Y4" i="3"/>
  <c r="BA4" i="3"/>
  <c r="AL6" i="3"/>
  <c r="K6" i="3"/>
  <c r="V5" i="3"/>
  <c r="T6" i="3"/>
  <c r="BB8" i="3"/>
  <c r="AX8" i="3"/>
  <c r="AY8" i="3" s="1"/>
  <c r="CG10" i="3"/>
  <c r="CG9" i="3"/>
  <c r="CC22" i="3"/>
  <c r="CO9" i="3"/>
  <c r="CP9" i="3"/>
  <c r="CO10" i="3"/>
  <c r="CP10" i="3"/>
  <c r="V6" i="3" l="1"/>
  <c r="T7" i="3"/>
  <c r="H6" i="3"/>
  <c r="G6" i="3"/>
  <c r="AH6" i="3" s="1"/>
  <c r="F6" i="3"/>
  <c r="D7" i="3"/>
  <c r="B6" i="5"/>
  <c r="H7" i="3" l="1"/>
  <c r="G7" i="3"/>
  <c r="AH7" i="3" s="1"/>
  <c r="F7" i="3"/>
  <c r="L18" i="2" s="1"/>
  <c r="D8" i="3"/>
  <c r="V7" i="3"/>
  <c r="T8" i="3"/>
  <c r="V8" i="3" s="1"/>
  <c r="E4" i="5" l="1"/>
  <c r="B7" i="5"/>
  <c r="H8" i="3"/>
  <c r="E5" i="5" s="1"/>
  <c r="G8" i="3"/>
  <c r="AH8" i="3" s="1"/>
  <c r="F8" i="3"/>
  <c r="N1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<sst xmlns="http://schemas.openxmlformats.org/spreadsheetml/2006/main" count="447" uniqueCount="291">
  <si>
    <t>1. update the separate fund spreadsheets in "Newsletter Data &gt; Convserions" for the latest months performance</t>
  </si>
  <si>
    <t>(1b. Attentus will send ARF performance to portfolioadmin in the 'NAV pack')</t>
  </si>
  <si>
    <t>2. In this excel doc, go to the sheet 'Performance Data' and update final row, take a note of the latest month's number in column A</t>
  </si>
  <si>
    <t>3. In the 'Summary' sheet, update cell A1 for the latest month number (eg. '148' would update for sep22 numbers)</t>
  </si>
  <si>
    <t>4. in the 'contribution data' sheet, update the red text for the latest month's contribution data. Do this by C&amp;P from IRESS using 'commands &gt; IPS &gt; reporting &gt; Performance Contribution)</t>
  </si>
  <si>
    <t>see screenshot for settings configuration - &gt; if you cant see these settings, click on brown filter</t>
  </si>
  <si>
    <t>5. Check each of the funds tabs for any data feed errors. If a new stock has been added, it may need to go into the 'Names' sheet</t>
  </si>
  <si>
    <t xml:space="preserve">6. Once spreadsheet has been updated, open up the pp preso doc for each fund, click 'update links' on entry. </t>
  </si>
  <si>
    <t>7. Ensure data is feeding correctly</t>
  </si>
  <si>
    <t>NET PERFORMANCE</t>
  </si>
  <si>
    <t>MTD</t>
  </si>
  <si>
    <t>QTD</t>
  </si>
  <si>
    <t>ANNUALISED</t>
  </si>
  <si>
    <t>LASER BEAM FUND</t>
  </si>
  <si>
    <t>TOP HOLDINGS</t>
  </si>
  <si>
    <t>GET FROM CELL R109</t>
  </si>
  <si>
    <t>TOP CONTRIBUTORS</t>
  </si>
  <si>
    <t>THE FUND</t>
  </si>
  <si>
    <t xml:space="preserve">Alphabet </t>
  </si>
  <si>
    <t>Universe</t>
  </si>
  <si>
    <t>Global</t>
  </si>
  <si>
    <t>Holdings</t>
  </si>
  <si>
    <t>5-20</t>
  </si>
  <si>
    <t>Target</t>
  </si>
  <si>
    <t>&gt;10% net p.a.</t>
  </si>
  <si>
    <t>Min Investment</t>
  </si>
  <si>
    <t>$100k</t>
  </si>
  <si>
    <t>Mgmt. Fee</t>
  </si>
  <si>
    <t>Net Exposure</t>
  </si>
  <si>
    <t>TOP DETRACTORS</t>
  </si>
  <si>
    <t>Perf. Fee</t>
  </si>
  <si>
    <t>Gross Long</t>
  </si>
  <si>
    <t>APIR</t>
  </si>
  <si>
    <t>NCC5451AU</t>
  </si>
  <si>
    <t>Gross Short</t>
  </si>
  <si>
    <t>Vehicle</t>
  </si>
  <si>
    <t>Wholesale Unit Trust</t>
  </si>
  <si>
    <t>PM</t>
  </si>
  <si>
    <t>Hayden Beamish</t>
  </si>
  <si>
    <t>STATISTICS</t>
  </si>
  <si>
    <t xml:space="preserve">Amazon </t>
  </si>
  <si>
    <t>Best Month</t>
  </si>
  <si>
    <t>Worst Month</t>
  </si>
  <si>
    <t>Reddit</t>
  </si>
  <si>
    <t>MSCI AW Best</t>
  </si>
  <si>
    <t>United Health</t>
  </si>
  <si>
    <t>MSCI AW Worst</t>
  </si>
  <si>
    <t>Upside Capture</t>
  </si>
  <si>
    <t>Downside Capture</t>
  </si>
  <si>
    <t>-</t>
  </si>
  <si>
    <t>Avg. Net Exposure</t>
  </si>
  <si>
    <t>Avg. Cash Balance</t>
  </si>
  <si>
    <t>Beta</t>
  </si>
  <si>
    <t>LBF DATA</t>
  </si>
  <si>
    <t>MGWD DATA</t>
  </si>
  <si>
    <t>LBF Data</t>
  </si>
  <si>
    <t>MSCI DATA</t>
  </si>
  <si>
    <t>HEDGE DATA</t>
  </si>
  <si>
    <t>Month</t>
  </si>
  <si>
    <t>NAV</t>
  </si>
  <si>
    <t>Inception</t>
  </si>
  <si>
    <t>Quarter</t>
  </si>
  <si>
    <t>FY</t>
  </si>
  <si>
    <t>1 Yr</t>
  </si>
  <si>
    <t>LBF Annualised</t>
  </si>
  <si>
    <t>Std Dev</t>
  </si>
  <si>
    <t>Gain/Pain</t>
  </si>
  <si>
    <t>MGWD Month</t>
  </si>
  <si>
    <t>MGWD Inception</t>
  </si>
  <si>
    <t>MGWD 1 Yr</t>
  </si>
  <si>
    <t>MGWD Annualised</t>
  </si>
  <si>
    <t>Hurdle</t>
  </si>
  <si>
    <t>Monthly Excess Return</t>
  </si>
  <si>
    <t>Rolling 12 Months Ex Ret</t>
  </si>
  <si>
    <t>Neg. Exc. Ret.</t>
  </si>
  <si>
    <t>Square Neg. Exc. Ret.</t>
  </si>
  <si>
    <t>Annualised</t>
  </si>
  <si>
    <t>Sharpe Excess</t>
  </si>
  <si>
    <t>Sharpe Annualised</t>
  </si>
  <si>
    <t>Weighted Avg. Market Cap ($m)</t>
  </si>
  <si>
    <t>Avg. Daily Liquidity</t>
  </si>
  <si>
    <t>Cash</t>
  </si>
  <si>
    <t>Avg. Cash</t>
  </si>
  <si>
    <t>Long Equities</t>
  </si>
  <si>
    <t>Short Equities</t>
  </si>
  <si>
    <t>Gross Exposure</t>
  </si>
  <si>
    <t xml:space="preserve">Gross Exposure </t>
  </si>
  <si>
    <t xml:space="preserve">Net Exposure </t>
  </si>
  <si>
    <t>Avg Gross Exposure %</t>
  </si>
  <si>
    <t>Avg Net Exposure %</t>
  </si>
  <si>
    <t>MVP-AU</t>
  </si>
  <si>
    <t>TECHNOLOGY</t>
  </si>
  <si>
    <t>MATERIALS</t>
  </si>
  <si>
    <t>PNV-AU</t>
  </si>
  <si>
    <t>AAPL-NYS</t>
  </si>
  <si>
    <t>Weighting</t>
  </si>
  <si>
    <t>METALS</t>
  </si>
  <si>
    <t>CGF-AU</t>
  </si>
  <si>
    <t>MQG-AU</t>
  </si>
  <si>
    <t>n/a</t>
  </si>
  <si>
    <t>Finance</t>
  </si>
  <si>
    <t>Miscellaneous</t>
  </si>
  <si>
    <t>ALU-AU</t>
  </si>
  <si>
    <t>TWTR</t>
  </si>
  <si>
    <t>TWTR-NYS</t>
  </si>
  <si>
    <t>Technology Services</t>
  </si>
  <si>
    <t>COMMUNICATIONS</t>
  </si>
  <si>
    <t>NEA-AU</t>
  </si>
  <si>
    <t>CWP</t>
  </si>
  <si>
    <t>CWP-AU</t>
  </si>
  <si>
    <t>Cedar Woods Properties Limited</t>
  </si>
  <si>
    <t>Producer Manufacturing</t>
  </si>
  <si>
    <t>Austal Ltd. engages in the design and construction of customized aluminum commercial and defense vessels. The company operates through the following segments: Australia, USA, and Asia. The Australia segment manufactures commercial and defense vessels for markets worldwide, excluding the USA and provides training and on-going support and maintenance for vessels. The USA segment engages in the manufacturing of aluminum defense vessels for the US Navy and provides training and on-going support and maintenance of these performance vessels for the US Navy. The Asia segment provides aluminium commercial vessels for global markets excluding the USA. The company was founded by John Rothwell in 1988 and is headquartered in Henderson, Australia.</t>
  </si>
  <si>
    <t>Designs and constructs customized aluminium commercial and defence vessels</t>
  </si>
  <si>
    <t>CASH</t>
  </si>
  <si>
    <t>TNE-AU</t>
  </si>
  <si>
    <t>BABA</t>
  </si>
  <si>
    <t>BABA-NYS</t>
  </si>
  <si>
    <t>Alibaba Group Holding Ltd. Sponsored ADR</t>
  </si>
  <si>
    <t>Retail Trade</t>
  </si>
  <si>
    <t>BigTinCan Holdings Ltd. is a software development company. The company focuses on providing enterprise mobility solutions, which enables sales and service organizations to increase sales, reduce expenditures and improve customer satisfaction through mobile worker productivity. Its Bigtincan hub, mobile content engagement platform enables users to securely access and interact with all types of content such as files, documents, PDFs, powerpoint presentations, e-mail, video, RSS fees, forms, media, web content, and share knowledge and expertise across teams, and automate processes across any mobile device or network. The company provides software development services to clients in Australia and U.S. BigTinCan Holdings was founded by David Keane and Geoffrey Cohen in 2011 and is headquartered in Sydney, Australia.</t>
  </si>
  <si>
    <t>Develops video distributing software</t>
  </si>
  <si>
    <t>NWH</t>
  </si>
  <si>
    <t>NWH-AU</t>
  </si>
  <si>
    <t>NRW Holdings Limited</t>
  </si>
  <si>
    <t>Industrial Services</t>
  </si>
  <si>
    <t>Cedar Woods Properties Ltd. engages in property investment and development. The firm's principal interests are in urban land and built form development for residential, industrial and commercial purposes. Its projects include St. A in St Albans, Jackson Green in Clayton South, Williams Landing, Bushmead, Harrisdale Green, Ellendale, and Glenside. The company was founded by William George Hames and Ross James Neumann in 1987 and is headquartered in West Perth, Australia.</t>
  </si>
  <si>
    <t>Engages in property investment and development activities in Australia</t>
  </si>
  <si>
    <t>IMD</t>
  </si>
  <si>
    <t>IMD-AU</t>
  </si>
  <si>
    <t>Imdex Ltd</t>
  </si>
  <si>
    <t>Distribution Services</t>
  </si>
  <si>
    <t>Electronic Technology</t>
  </si>
  <si>
    <t>Electro Optic Systems Holdings Ltd. develops and produces products incorporating advanced electro-optic technologies for the aerospace market. Its products are developed through internal research and development programs based on its core technologies in software, lasers, electronics, optics, gimbals, telescopes and beam directors, optical coatings and precision mechanisms. The company operates its business through the following segments: Defence Systems and Space. The Defence Systems segment develops, manufactures and markets advanced fire control, surveillance and weapon systems to approved military customers. The Space segment involves in surveillance systems. Electro Optic Systems Holdings was founded by Benny Allan Greene in 1983 and is headquartered in Sydney, Australia.</t>
  </si>
  <si>
    <t>Develops and produces electro-optic technologies for the aerospace market</t>
  </si>
  <si>
    <t>PAN</t>
  </si>
  <si>
    <t>PAN-AU</t>
  </si>
  <si>
    <t>Panoramic Resources Limited</t>
  </si>
  <si>
    <t>Non-Energy Minerals</t>
  </si>
  <si>
    <t>Imdex Ltd. engages in the provision of mining equipment, technology, and services. It operates through the AMC and REFLEX brands. The AMC brand deals with drilling fluids, equipment, technologies, and software. The REFLEX brand includes downhole instrumentation, data management and analytical software for geological modelling. The company was founded on December 17, 1980 and is headquartered in Balcatta, Australia.</t>
  </si>
  <si>
    <t>Provides drilling fluids to mining industries</t>
  </si>
  <si>
    <t>Total</t>
  </si>
  <si>
    <t>XLI</t>
  </si>
  <si>
    <t>XLI-NYS</t>
  </si>
  <si>
    <t>Industrial Select Sector SPDR Fund</t>
  </si>
  <si>
    <t>Communications</t>
  </si>
  <si>
    <t>MNF Group Ltd. engages in the provision of voice, data, and cloud based communication and communication enablement services. It operates its business through the following segments: Domestic Retail, Domestic Wholesale, and Global Wholesale. The Domestic Retail segment involves in selling directly to residential, small business, enterprise and government customers. The Domestic Wholesale segment include selling to Australian and New Zealand domestic carriers, carriage service providers, cloud providers, and application providers. The Global Wholesale segment focuses in selling to the global carriers, carriage service providers, cloud providers, and application providers. The company was founded by Kam Kan Fung and Rene Sugo in 2004 and is headquartered in Sydney, Australia.</t>
  </si>
  <si>
    <t>Provides IP based VoIP, data and video services</t>
  </si>
  <si>
    <t>OBL</t>
  </si>
  <si>
    <t>OBL-AU</t>
  </si>
  <si>
    <t>Omni Bridgeway Ltd</t>
  </si>
  <si>
    <t>Commercial Services</t>
  </si>
  <si>
    <t>Money3 Corp. Ltd. provides financial services. Its specialization includes the delivery of small cash loans, secured and unsecured personal loans, cheque cashing, equipment and motor vehicle rental. It operates through following segments: Broker, Branch and Online. The Broker segment provides facilities based on the provision of an underlying asset as security, generally referred through a broker. The Branch segment provides services and facilities generally without the provision of an underlying asset as security through the branch network. The Online segment provides facilities without the provision of an underlying asset as security through the internet. The company was founded on November 25, 2005 and is headquartered in Bundoora, Australia.</t>
  </si>
  <si>
    <t>Provides credit, personal and car cash loans, cheque cashing, international money transfer and insurance brokerage services</t>
  </si>
  <si>
    <t>CAT</t>
  </si>
  <si>
    <t>CAT-AU</t>
  </si>
  <si>
    <t>Catapult Group International Ltd.</t>
  </si>
  <si>
    <t>Macquarie Group Ltd. operates as a non-operating holding company. The firm engages in the provision of banking, financial, advisory, investment and funds management services. It operates through the following segments: Macquarie Asset Management (MAM), Banking and Financial Services (BFS), Commodities and Global Markets (CGM), Macquarie Capital and Corporate. The MAM segment delivers investment solutions to clients across a range of capabilities, including infrastructure, real estate, agriculture, equities, fixed income, private credit, liquid alternatives, and multi-asset solutions. The BFS segment offers personal banking, wealth management, business banking, and vehicle finance products and services to retail clients, advisers, brokers and business clients. The CGM segment comprises of integrated, end-to-end offering across global markets including equities, fixed income, foreign exchange, and commodities. The Macquarie Capital segment includes capital solutions across products and sectors including infrastructure, green and conventional energy. The Corporate segment refers to the head office and central service groups, including group treasury and other investments. The company was founded on December 10, 1969 and is headquartered in Sydney, Australia.</t>
  </si>
  <si>
    <t>Provides retail financial services, investment banking, and financial market services</t>
  </si>
  <si>
    <t>Avg. market cap</t>
  </si>
  <si>
    <t>b</t>
  </si>
  <si>
    <t>1) Update column BW to make sure ASX stocks have "-AU" after and USA stocks "-NYS" (CAT &amp; XLI are the only 3 letter codes that are NYS)</t>
  </si>
  <si>
    <t>Weighting avg. market cap</t>
  </si>
  <si>
    <t>2) Click Factset</t>
  </si>
  <si>
    <t>Avg. daily value</t>
  </si>
  <si>
    <t>m</t>
  </si>
  <si>
    <t>Weighting avg. daily liquidity</t>
  </si>
  <si>
    <t>3) Click Hardcode</t>
  </si>
  <si>
    <t>Avg AU liquidity</t>
  </si>
  <si>
    <t>5) Copy data from BX39 &amp; BX41  into columns AW and AY</t>
  </si>
  <si>
    <t>Portfolio By Market Cap</t>
  </si>
  <si>
    <t>&gt;$10b (84%)</t>
  </si>
  <si>
    <t>$1b-$10b (11%)</t>
  </si>
  <si>
    <t>$500m-$1b (0%)</t>
  </si>
  <si>
    <t>$300m-$500m (0%)</t>
  </si>
  <si>
    <t>&lt;$300m (5%)</t>
  </si>
  <si>
    <t>300m FUM</t>
  </si>
  <si>
    <t>Days to exit</t>
  </si>
  <si>
    <t>% exit &lt;2 days</t>
  </si>
  <si>
    <t>80% of $300m within two weeks</t>
  </si>
  <si>
    <t>INTERACTIVE BROKERS</t>
  </si>
  <si>
    <t>Energy</t>
  </si>
  <si>
    <t>Financials</t>
  </si>
  <si>
    <t>Heathcare</t>
  </si>
  <si>
    <t>Software</t>
  </si>
  <si>
    <t>Materials</t>
  </si>
  <si>
    <t>Resources</t>
  </si>
  <si>
    <t>Property</t>
  </si>
  <si>
    <t>Telecomm</t>
  </si>
  <si>
    <t>Online Retail</t>
  </si>
  <si>
    <t>Industrials</t>
  </si>
  <si>
    <t>Mining Services</t>
  </si>
  <si>
    <t>Technology</t>
  </si>
  <si>
    <t>Medical Device</t>
  </si>
  <si>
    <t>Defence Construction</t>
  </si>
  <si>
    <t>Biotechnology</t>
  </si>
  <si>
    <t>Industrial</t>
  </si>
  <si>
    <t>Retail</t>
  </si>
  <si>
    <t>CAT-NYS</t>
  </si>
  <si>
    <t>Infrastrucutre</t>
  </si>
  <si>
    <t>SLC-AU</t>
  </si>
  <si>
    <t>Infrastructure</t>
  </si>
  <si>
    <t>EOS-AU</t>
  </si>
  <si>
    <t>Telecommunications</t>
  </si>
  <si>
    <t>SLB-NYS</t>
  </si>
  <si>
    <t>Online Travel</t>
  </si>
  <si>
    <t>ASB-AU</t>
  </si>
  <si>
    <t>MNY-AU</t>
  </si>
  <si>
    <t>RBL-AU</t>
  </si>
  <si>
    <t>CumulativeReturn</t>
  </si>
  <si>
    <t>label</t>
  </si>
  <si>
    <t>value</t>
  </si>
  <si>
    <t>TopHoldingsTable</t>
  </si>
  <si>
    <t>Weight</t>
  </si>
  <si>
    <t>Rank</t>
  </si>
  <si>
    <t>Column1</t>
  </si>
  <si>
    <t>Column2</t>
  </si>
  <si>
    <t>Column3</t>
  </si>
  <si>
    <t>Column4</t>
  </si>
  <si>
    <t>Column5</t>
  </si>
  <si>
    <t>Column6</t>
  </si>
  <si>
    <t>Column7</t>
  </si>
  <si>
    <t>Column8</t>
  </si>
  <si>
    <t>Column9</t>
  </si>
  <si>
    <t>Column10</t>
  </si>
  <si>
    <t>key</t>
  </si>
  <si>
    <t>name</t>
  </si>
  <si>
    <t>labels</t>
  </si>
  <si>
    <t>Gross long</t>
  </si>
  <si>
    <t>&gt;$10b</t>
  </si>
  <si>
    <t>Gross short</t>
  </si>
  <si>
    <t>$1b-$10b</t>
  </si>
  <si>
    <t>Net</t>
  </si>
  <si>
    <t>$500m-$1b</t>
  </si>
  <si>
    <t>$300m-$500m</t>
  </si>
  <si>
    <t>&lt;$300m</t>
  </si>
  <si>
    <t>text</t>
  </si>
  <si>
    <t xml:space="preserve">Strategy </t>
  </si>
  <si>
    <t>We run a concentrated, long biased portfolio of 5 to 20 positions, with flexibility to short mainly for hedging and risk management. We focus on quality businesses, sizing positions by conviction and risk reward, cutting losers quickly and letting winners compound. Ideas are sourced through deep fundamental research enhanced by proprietary AI analytics to uncover catalysts, growth themes and market dislocations. The Portfolio Manager is invested alongside clients.</t>
  </si>
  <si>
    <t>Hedging</t>
  </si>
  <si>
    <t>Hedging is part of our core process, not a trade. We aim to protect capital, smooth the return path and keep dry powder so we can play offence when others are forced to sell. We flex net exposure using index futures and options such as put spreads, collars and opportunistic call overwrites to neutralise market risk at low carry, add selective single name shorts where fundamentals are deteriorating or positioning is crowded, and hold cash when the opportunity set is thin.</t>
  </si>
  <si>
    <t>AI Analyst</t>
  </si>
  <si>
    <t>It ingests earnings calls, company filings, price and volume, options flow and credible web signals each day, then ranks what changed and why it matters. Language models flag guidance shifts, management tone, competitive pressure and anomalies that are easy to miss at speed, while pattern detection surfaces repeatable set ups and builds live watchlists with entry and exit levels, catalysts and risks. The output is concise one page briefs and scenario tests that support quicker and better sizing decisions. It augments our work, it does not decide, and every idea still passes a fundamental review before capital is risked.</t>
  </si>
  <si>
    <t>Risk Management</t>
  </si>
  <si>
    <t>We are return focused and drawdown aware. Risk is set before entry: every trade has defined downside, a stop loss, and a position size based on conviction, liquidity and risk reward within name and sector limits. Gross and net exposure sit inside bands, with hedges and shorts used to neutralise unintended risks. Liquidity comes first, supported by event playbooks and ongoing stress tests across rates, currency, factors and commodities; portfolio drawdown triggers force action. Independent trustee, administration and audit provide oversight with daily reconciliation, and the Portfolio Manager invests alongside clients.</t>
  </si>
  <si>
    <t>SLB</t>
  </si>
  <si>
    <t>INCEPTION</t>
  </si>
  <si>
    <t>CONSUMER DISCRETIONARY</t>
  </si>
  <si>
    <t>Value</t>
  </si>
  <si>
    <t>RDDT US</t>
  </si>
  <si>
    <t>RDDT US EQUITY</t>
  </si>
  <si>
    <t>Annualised Std Dev</t>
  </si>
  <si>
    <t>Annualised Sortino</t>
  </si>
  <si>
    <t>Annualised Sharpe Ratio</t>
  </si>
  <si>
    <t>Beta (fund vs benchmark)</t>
  </si>
  <si>
    <t>MGWD Index</t>
  </si>
  <si>
    <t>Benchmark annualised Sortino</t>
  </si>
  <si>
    <t>Benchmark annualised Sharpe</t>
  </si>
  <si>
    <t>Rf Rate</t>
  </si>
  <si>
    <t>Rf Monthly</t>
  </si>
  <si>
    <t>Monthly downside deviation of excess</t>
  </si>
  <si>
    <t>Annualised downside deviation</t>
  </si>
  <si>
    <t>Mean Monthly Excess</t>
  </si>
  <si>
    <t>Stdev Excess</t>
  </si>
  <si>
    <t>Correlation</t>
  </si>
  <si>
    <t>R squared</t>
  </si>
  <si>
    <t>Tracking error</t>
  </si>
  <si>
    <r>
      <t>Information ratio</t>
    </r>
    <r>
      <rPr>
        <sz val="11"/>
        <color theme="1"/>
        <rFont val="Calibri"/>
        <family val="2"/>
        <charset val="1"/>
      </rPr>
      <t xml:space="preserve"> (annualised):</t>
    </r>
  </si>
  <si>
    <t>Monthly downside deviation of benchmark excess</t>
  </si>
  <si>
    <t>Annualised downside deviation benchmark</t>
  </si>
  <si>
    <t>Monthly stdev of benchmark excess returns</t>
  </si>
  <si>
    <t>Annualised stdev of benchmark excess</t>
  </si>
  <si>
    <t>SECTOR WEIGHTINGS</t>
  </si>
  <si>
    <t>MARKET CAP BREAKDOWN</t>
  </si>
  <si>
    <t>GOOG US</t>
  </si>
  <si>
    <t>GOOG US EQUITY</t>
  </si>
  <si>
    <t>China</t>
  </si>
  <si>
    <t>IBKR US</t>
  </si>
  <si>
    <t>IBKR US EQUITY</t>
  </si>
  <si>
    <t>FINANCIALS</t>
  </si>
  <si>
    <t>AI</t>
  </si>
  <si>
    <t>9988 HK</t>
  </si>
  <si>
    <t>9988 HK EQUITY</t>
  </si>
  <si>
    <t>LLM AU</t>
  </si>
  <si>
    <t>LLM AU EQUITY</t>
  </si>
  <si>
    <t>FY26</t>
  </si>
  <si>
    <t>OTHER</t>
  </si>
  <si>
    <t>Unity Software</t>
  </si>
  <si>
    <t>Date updated</t>
  </si>
  <si>
    <t xml:space="preserve">Reddit </t>
  </si>
  <si>
    <t>South32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</si>
</sst>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_-* #,##0.00_-;\-* #,##0.00_-;_-* \-??_-;_-@_-"/>
    <numFmt numFmtId="165" formatCode="_-\$* #,##0.00_-;&quot;-$&quot;* #,##0.00_-;_-\$* \-??_-;_-@_-"/>
    <numFmt numFmtId="166" formatCode="[$-F800]dddd&quot;, &quot;mmmm\ dd&quot;, &quot;yyyy"/>
    <numFmt numFmtId="167" formatCode="0.0%"/>
    <numFmt numFmtId="168" formatCode="dd/mm/yyyy"/>
    <numFmt numFmtId="169" formatCode="dd\ mmm\ yy"/>
    <numFmt numFmtId="170" formatCode="0.0"/>
    <numFmt numFmtId="171" formatCode="_-* #,##0.0_-;\-* #,##0.0_-;_-* \-??_-;_-@_-"/>
    <numFmt numFmtId="172" formatCode="\$###\b"/>
    <numFmt numFmtId="173" formatCode="\$###\m"/>
    <numFmt numFmtId="174" formatCode="_-* #,##0_-;\-* #,##0_-;_-* \-??_-;_-@_-"/>
    <numFmt numFmtId="175" formatCode="0.0;;;"/>
    <numFmt numFmtId="176" formatCode="0;;;"/>
    <numFmt numFmtId="177" formatCode="0%;\-0%;\ "/>
    <numFmt numFmtId="178" formatCode="_-* #,##0.0_-;\-* #,##0.0_-;_-* &quot;-&quot;??_-;_-@_-"/>
    <numFmt numFmtId="179" formatCode="&quot;$&quot;###&quot;b&quot;"/>
    <numFmt numFmtId="180" formatCode="&quot;$&quot;###&quot;m&quot;"/>
    <numFmt numFmtId="181" formatCode="_-* #,##0_-;\-* #,##0_-;_-* &quot;-&quot;??_-;_-@_-"/>
    <numFmt numFmtId="182" formatCode="[$-10409]#,##0.00;\(#,##0.00\);&quot;-&quot;"/>
    <numFmt numFmtId="185" formatCode="d\ mmm"/>
  </numFmts>
  <fonts count="40">
    <font>
      <sz val="11"/>
      <color theme="1"/>
      <name val="Calibri"/>
      <family val="2"/>
      <charset val="1"/>
    </font>
    <font>
      <sz val="10"/>
      <name val="Arial"/>
      <family val="2"/>
      <charset val="1"/>
    </font>
    <font>
      <b/>
      <sz val="14"/>
      <color rgb="FFAE1E2E"/>
      <name val="HelveticaNeue LT 33 ThinEx"/>
      <charset val="1"/>
    </font>
    <font>
      <b/>
      <sz val="11"/>
      <color theme="1"/>
      <name val="Calibri"/>
      <family val="2"/>
      <charset val="1"/>
    </font>
    <font>
      <sz val="11"/>
      <color theme="1"/>
      <name val="Mont"/>
      <charset val="1"/>
    </font>
    <font>
      <sz val="11"/>
      <name val="Mont"/>
      <charset val="1"/>
    </font>
    <font>
      <sz val="16"/>
      <name val="Montserrat"/>
      <charset val="1"/>
    </font>
    <font>
      <sz val="11"/>
      <color theme="0" tint="-0.34998626667073579"/>
      <name val="Mont"/>
      <charset val="1"/>
    </font>
    <font>
      <sz val="12"/>
      <name val="Mont"/>
      <charset val="1"/>
    </font>
    <font>
      <b/>
      <sz val="15"/>
      <name val="Mont"/>
      <charset val="1"/>
    </font>
    <font>
      <sz val="15"/>
      <name val="Mont"/>
      <charset val="1"/>
    </font>
    <font>
      <b/>
      <sz val="11"/>
      <name val="Mont"/>
      <charset val="1"/>
    </font>
    <font>
      <sz val="14"/>
      <name val="Montserrat"/>
      <charset val="1"/>
    </font>
    <font>
      <sz val="14"/>
      <color theme="1"/>
      <name val="Montserrat"/>
      <charset val="1"/>
    </font>
    <font>
      <sz val="12"/>
      <color rgb="FFAE1E2E"/>
      <name val="HelveticaNeue LT 43 LightEx"/>
      <charset val="1"/>
    </font>
    <font>
      <sz val="14"/>
      <name val="Mont"/>
      <charset val="1"/>
    </font>
    <font>
      <sz val="11"/>
      <name val="Montserrat"/>
      <charset val="1"/>
    </font>
    <font>
      <sz val="11"/>
      <color theme="1"/>
      <name val="Montserrat"/>
      <charset val="1"/>
    </font>
    <font>
      <sz val="10"/>
      <color theme="1"/>
      <name val="Mont"/>
      <charset val="1"/>
    </font>
    <font>
      <sz val="12"/>
      <color theme="1"/>
      <name val="Montserrat"/>
      <charset val="1"/>
    </font>
    <font>
      <sz val="10"/>
      <name val="Mont"/>
      <charset val="1"/>
    </font>
    <font>
      <b/>
      <sz val="12"/>
      <color theme="0"/>
      <name val="Arial"/>
      <family val="2"/>
      <charset val="1"/>
    </font>
    <font>
      <sz val="10"/>
      <color theme="0"/>
      <name val="Arial"/>
      <family val="2"/>
      <charset val="1"/>
    </font>
    <font>
      <b/>
      <sz val="12"/>
      <name val="Arial"/>
      <family val="2"/>
      <charset val="1"/>
    </font>
    <font>
      <sz val="12"/>
      <name val="Arial"/>
      <family val="2"/>
      <charset val="1"/>
    </font>
    <font>
      <sz val="8.8000000000000007"/>
      <name val="HelveticaNeue LT 33 ThinEx"/>
      <charset val="1"/>
    </font>
    <font>
      <b/>
      <sz val="10"/>
      <name val="Arial"/>
      <family val="2"/>
      <charset val="1"/>
    </font>
    <font>
      <sz val="8"/>
      <name val="Arial"/>
      <family val="2"/>
      <charset val="1"/>
    </font>
    <font>
      <sz val="8"/>
      <color theme="1"/>
      <name val="Arial"/>
      <family val="2"/>
      <charset val="1"/>
    </font>
    <font>
      <sz val="7"/>
      <color rgb="FF07080A"/>
      <name val="Arial"/>
      <family val="2"/>
      <charset val="1"/>
    </font>
    <font>
      <sz val="7"/>
      <color rgb="FF4B5563"/>
      <name val="Arial"/>
      <family val="2"/>
      <charset val="1"/>
    </font>
    <font>
      <b/>
      <sz val="18"/>
      <color rgb="FF6B7281"/>
      <name val="Arial"/>
      <family val="2"/>
      <charset val="1"/>
    </font>
    <font>
      <sz val="11"/>
      <color theme="1"/>
      <name val="Calibri"/>
      <family val="2"/>
      <charset val="1"/>
    </font>
    <font>
      <sz val="10"/>
      <name val="Arial"/>
      <family val="2"/>
    </font>
    <font>
      <b/>
      <sz val="12"/>
      <name val="Arial"/>
      <family val="2"/>
    </font>
    <font>
      <sz val="12"/>
      <name val="Arial"/>
      <family val="2"/>
    </font>
    <font>
      <sz val="8"/>
      <color rgb="FF404040"/>
      <name val="Arial"/>
      <family val="2"/>
    </font>
    <font>
      <b/>
      <sz val="12"/>
      <color theme="0"/>
      <name val="Arial"/>
      <family val="2"/>
    </font>
    <font>
      <sz val="10"/>
      <color theme="0"/>
      <name val="Arial"/>
      <family val="2"/>
    </font>
    <font>
      <b/>
      <sz val="10"/>
      <color theme="0"/>
      <name val="Arial"/>
      <family val="2"/>
    </font>
  </fonts>
  <fills count="14">
    <fill>
      <patternFill patternType="none"/>
    </fill>
    <fill>
      <patternFill patternType="gray125"/>
    </fill>
    <fill>
      <patternFill patternType="solid">
        <fgColor theme="0"/>
        <bgColor rgb="FFF5F5F5"/>
      </patternFill>
    </fill>
    <fill>
      <patternFill patternType="solid">
        <fgColor rgb="FFF5F5F5"/>
        <bgColor rgb="FFF2F2F2"/>
      </patternFill>
    </fill>
    <fill>
      <patternFill patternType="solid">
        <fgColor theme="0" tint="-0.14999847407452621"/>
        <bgColor rgb="FFD6D6D6"/>
      </patternFill>
    </fill>
    <fill>
      <patternFill patternType="solid">
        <fgColor theme="3"/>
        <bgColor rgb="FF404040"/>
      </patternFill>
    </fill>
    <fill>
      <patternFill patternType="solid">
        <fgColor theme="5" tint="0.79989013336588644"/>
        <bgColor rgb="FFF0E5DA"/>
      </patternFill>
    </fill>
    <fill>
      <patternFill patternType="solid">
        <fgColor theme="4" tint="0.79989013336588644"/>
        <bgColor rgb="FFFADDCD"/>
      </patternFill>
    </fill>
    <fill>
      <patternFill patternType="solid">
        <fgColor theme="9" tint="0.79989013336588644"/>
        <bgColor rgb="FFE5E7EB"/>
      </patternFill>
    </fill>
    <fill>
      <patternFill patternType="solid">
        <fgColor theme="0" tint="-4.9989318521683403E-2"/>
        <bgColor rgb="FFF5F5F5"/>
      </patternFill>
    </fill>
    <fill>
      <patternFill patternType="solid">
        <fgColor theme="0" tint="-0.14999847407452621"/>
        <bgColor indexed="64"/>
      </patternFill>
    </fill>
    <fill>
      <patternFill patternType="solid">
        <fgColor rgb="FFF2F2F2"/>
        <bgColor rgb="FFF2F2F2"/>
      </patternFill>
    </fill>
    <fill>
      <patternFill patternType="solid">
        <fgColor rgb="FFFFFFFF"/>
        <bgColor rgb="FFFFFFFF"/>
      </patternFill>
    </fill>
    <fill>
      <patternFill patternType="solid">
        <fgColor theme="3"/>
        <bgColor indexed="64"/>
      </patternFill>
    </fill>
  </fills>
  <borders count="6">
    <border>
      <left/>
      <right/>
      <top/>
      <bottom/>
      <diagonal/>
    </border>
    <border>
      <left style="thin">
        <color auto="1"/>
      </left>
      <right/>
      <top/>
      <bottom/>
      <diagonal/>
    </border>
    <border>
      <left/>
      <right/>
      <top/>
      <bottom style="thin">
        <color auto="1"/>
      </bottom>
      <diagonal/>
    </border>
    <border>
      <left/>
      <right/>
      <top/>
      <bottom style="medium">
        <color rgb="FFE5E7EB"/>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s>
  <cellStyleXfs count="10">
    <xf numFmtId="0" fontId="0" fillId="0" borderId="0"/>
    <xf numFmtId="164" fontId="32" fillId="0" borderId="0" applyBorder="0" applyProtection="0"/>
    <xf numFmtId="165" fontId="32" fillId="0" borderId="0" applyBorder="0" applyProtection="0"/>
    <xf numFmtId="9" fontId="32" fillId="0" borderId="0" applyBorder="0" applyProtection="0"/>
    <xf numFmtId="164" fontId="32" fillId="0" borderId="0" applyBorder="0" applyProtection="0"/>
    <xf numFmtId="165" fontId="32" fillId="0" borderId="0" applyBorder="0" applyProtection="0"/>
    <xf numFmtId="0" fontId="1" fillId="0" borderId="0"/>
    <xf numFmtId="166" fontId="1" fillId="0" borderId="0"/>
    <xf numFmtId="9" fontId="32" fillId="0" borderId="0" applyBorder="0" applyProtection="0"/>
    <xf numFmtId="0" fontId="2" fillId="2" borderId="0">
      <alignment horizontal="left" vertical="center"/>
    </xf>
  </cellStyleXfs>
  <cellXfs count="174">
    <xf numFmtId="0" fontId="0" fillId="0" borderId="0" xfId="0"/>
    <xf numFmtId="166" fontId="21" fillId="5" borderId="0" xfId="7" applyFont="1" applyFill="1" applyAlignment="1">
      <alignment horizontal="center" vertical="center" wrapText="1"/>
    </xf>
    <xf numFmtId="167" fontId="12" fillId="2" borderId="0" xfId="0" applyNumberFormat="1" applyFont="1" applyFill="1" applyAlignment="1">
      <alignment horizontal="left" vertical="center"/>
    </xf>
    <xf numFmtId="167" fontId="6" fillId="2" borderId="0" xfId="0" applyNumberFormat="1" applyFont="1" applyFill="1" applyAlignment="1">
      <alignment horizontal="center" vertical="center"/>
    </xf>
    <xf numFmtId="0" fontId="6" fillId="3" borderId="0" xfId="0" applyFont="1" applyFill="1" applyAlignment="1">
      <alignment horizontal="center" vertical="center"/>
    </xf>
    <xf numFmtId="0" fontId="0" fillId="2" borderId="0" xfId="0" applyFill="1"/>
    <xf numFmtId="0" fontId="3" fillId="2" borderId="0" xfId="0" applyFont="1" applyFill="1"/>
    <xf numFmtId="0" fontId="0" fillId="2" borderId="0" xfId="0" applyFill="1" applyAlignment="1">
      <alignment horizontal="left" indent="2"/>
    </xf>
    <xf numFmtId="0" fontId="4" fillId="2" borderId="0" xfId="0" applyFont="1" applyFill="1"/>
    <xf numFmtId="0" fontId="5" fillId="2" borderId="0" xfId="0" applyFont="1" applyFill="1"/>
    <xf numFmtId="0" fontId="6" fillId="3" borderId="0" xfId="0" applyFont="1" applyFill="1" applyAlignment="1">
      <alignment vertical="center"/>
    </xf>
    <xf numFmtId="167" fontId="5" fillId="2" borderId="0" xfId="3" applyNumberFormat="1" applyFont="1" applyFill="1" applyBorder="1" applyProtection="1"/>
    <xf numFmtId="167" fontId="6" fillId="2" borderId="0" xfId="0" applyNumberFormat="1" applyFont="1" applyFill="1" applyAlignment="1">
      <alignment vertical="center"/>
    </xf>
    <xf numFmtId="0" fontId="4" fillId="2" borderId="0" xfId="0" applyFont="1" applyFill="1" applyAlignment="1">
      <alignment horizontal="center"/>
    </xf>
    <xf numFmtId="0" fontId="7" fillId="2" borderId="0" xfId="0" applyFont="1" applyFill="1"/>
    <xf numFmtId="167" fontId="8" fillId="2" borderId="0" xfId="0" applyNumberFormat="1" applyFont="1" applyFill="1" applyAlignment="1">
      <alignment horizontal="left" vertical="center"/>
    </xf>
    <xf numFmtId="167" fontId="8" fillId="2" borderId="0" xfId="0" applyNumberFormat="1" applyFont="1" applyFill="1" applyAlignment="1">
      <alignment horizontal="center" vertical="center"/>
    </xf>
    <xf numFmtId="0" fontId="6" fillId="2" borderId="0" xfId="0" applyFont="1" applyFill="1" applyAlignment="1">
      <alignment vertical="center"/>
    </xf>
    <xf numFmtId="0" fontId="5" fillId="2" borderId="0" xfId="0" applyFont="1" applyFill="1" applyAlignment="1">
      <alignment horizontal="left" vertical="center"/>
    </xf>
    <xf numFmtId="9" fontId="4" fillId="2" borderId="0" xfId="0" applyNumberFormat="1" applyFont="1" applyFill="1" applyAlignment="1">
      <alignment horizontal="center"/>
    </xf>
    <xf numFmtId="9" fontId="4" fillId="2" borderId="0" xfId="0" applyNumberFormat="1" applyFont="1" applyFill="1" applyAlignment="1">
      <alignment horizontal="left"/>
    </xf>
    <xf numFmtId="9" fontId="5" fillId="2" borderId="0" xfId="0" applyNumberFormat="1" applyFont="1" applyFill="1" applyAlignment="1">
      <alignment horizontal="center"/>
    </xf>
    <xf numFmtId="9" fontId="4" fillId="2" borderId="0" xfId="0" applyNumberFormat="1" applyFont="1" applyFill="1"/>
    <xf numFmtId="0" fontId="5" fillId="2" borderId="0" xfId="0" applyFont="1" applyFill="1" applyAlignment="1">
      <alignment horizontal="center" vertical="center"/>
    </xf>
    <xf numFmtId="0" fontId="8" fillId="2" borderId="0" xfId="0" applyFont="1" applyFill="1"/>
    <xf numFmtId="167" fontId="8" fillId="2" borderId="0" xfId="0" applyNumberFormat="1" applyFont="1" applyFill="1" applyAlignment="1">
      <alignment horizontal="left" vertical="center" indent="1"/>
    </xf>
    <xf numFmtId="0" fontId="8" fillId="2" borderId="0" xfId="0" applyFont="1" applyFill="1" applyAlignment="1">
      <alignment horizontal="center"/>
    </xf>
    <xf numFmtId="0" fontId="9" fillId="2" borderId="0" xfId="0" applyFont="1" applyFill="1"/>
    <xf numFmtId="0" fontId="10" fillId="2" borderId="0" xfId="0" applyFont="1" applyFill="1"/>
    <xf numFmtId="0" fontId="11" fillId="2" borderId="0" xfId="0" applyFont="1" applyFill="1"/>
    <xf numFmtId="0" fontId="12" fillId="2" borderId="0" xfId="0" applyFont="1" applyFill="1" applyAlignment="1">
      <alignment horizontal="left" vertical="center"/>
    </xf>
    <xf numFmtId="0" fontId="13" fillId="2" borderId="0" xfId="0" applyFont="1" applyFill="1"/>
    <xf numFmtId="167" fontId="13" fillId="2" borderId="0" xfId="0" applyNumberFormat="1" applyFont="1" applyFill="1" applyAlignment="1">
      <alignment horizontal="center"/>
    </xf>
    <xf numFmtId="9" fontId="13" fillId="2" borderId="0" xfId="0" applyNumberFormat="1" applyFont="1" applyFill="1" applyAlignment="1">
      <alignment horizontal="center"/>
    </xf>
    <xf numFmtId="166" fontId="14" fillId="2" borderId="0" xfId="7" applyFont="1" applyFill="1" applyAlignment="1">
      <alignment vertical="center"/>
    </xf>
    <xf numFmtId="167" fontId="12" fillId="2" borderId="0" xfId="8" applyNumberFormat="1" applyFont="1" applyFill="1" applyBorder="1" applyAlignment="1" applyProtection="1">
      <alignment horizontal="left"/>
    </xf>
    <xf numFmtId="1" fontId="13" fillId="2" borderId="0" xfId="0" applyNumberFormat="1" applyFont="1" applyFill="1" applyAlignment="1">
      <alignment horizontal="center"/>
    </xf>
    <xf numFmtId="167" fontId="13" fillId="2" borderId="0" xfId="3" applyNumberFormat="1" applyFont="1" applyFill="1" applyBorder="1" applyAlignment="1" applyProtection="1">
      <alignment horizontal="right"/>
    </xf>
    <xf numFmtId="1" fontId="13" fillId="2" borderId="0" xfId="0" applyNumberFormat="1" applyFont="1" applyFill="1" applyAlignment="1">
      <alignment horizontal="right"/>
    </xf>
    <xf numFmtId="0" fontId="4" fillId="2" borderId="0" xfId="0" applyFont="1" applyFill="1" applyAlignment="1">
      <alignment horizontal="left" vertical="center"/>
    </xf>
    <xf numFmtId="167" fontId="12" fillId="2" borderId="0" xfId="0" applyNumberFormat="1" applyFont="1" applyFill="1" applyAlignment="1">
      <alignment vertical="center"/>
    </xf>
    <xf numFmtId="9" fontId="12" fillId="2" borderId="0" xfId="0" applyNumberFormat="1" applyFont="1" applyFill="1" applyAlignment="1">
      <alignment horizontal="center"/>
    </xf>
    <xf numFmtId="2" fontId="13" fillId="2" borderId="0" xfId="0" applyNumberFormat="1" applyFont="1" applyFill="1" applyAlignment="1">
      <alignment horizontal="right"/>
    </xf>
    <xf numFmtId="9" fontId="13" fillId="2" borderId="0" xfId="0" applyNumberFormat="1" applyFont="1" applyFill="1" applyAlignment="1">
      <alignment horizontal="right"/>
    </xf>
    <xf numFmtId="167" fontId="15" fillId="2" borderId="0" xfId="0" applyNumberFormat="1" applyFont="1" applyFill="1" applyAlignment="1">
      <alignment horizontal="left" vertical="center"/>
    </xf>
    <xf numFmtId="0" fontId="16" fillId="2" borderId="0" xfId="0" applyFont="1" applyFill="1" applyAlignment="1">
      <alignment horizontal="left" vertical="center"/>
    </xf>
    <xf numFmtId="0" fontId="17" fillId="2" borderId="0" xfId="0" applyFont="1" applyFill="1"/>
    <xf numFmtId="0" fontId="16" fillId="2" borderId="0" xfId="0" applyFont="1" applyFill="1" applyAlignment="1">
      <alignment horizontal="center" vertical="center"/>
    </xf>
    <xf numFmtId="0" fontId="18" fillId="2" borderId="0" xfId="0" applyFont="1" applyFill="1"/>
    <xf numFmtId="0" fontId="12" fillId="2" borderId="0" xfId="0" applyFont="1" applyFill="1" applyAlignment="1">
      <alignment horizontal="center"/>
    </xf>
    <xf numFmtId="0" fontId="12" fillId="2" borderId="0" xfId="0" applyFont="1" applyFill="1"/>
    <xf numFmtId="9" fontId="19" fillId="2" borderId="0" xfId="0" applyNumberFormat="1" applyFont="1" applyFill="1" applyAlignment="1">
      <alignment horizontal="right"/>
    </xf>
    <xf numFmtId="0" fontId="20" fillId="2" borderId="0" xfId="0" applyFont="1" applyFill="1"/>
    <xf numFmtId="0" fontId="4" fillId="3" borderId="0" xfId="0" applyFont="1" applyFill="1"/>
    <xf numFmtId="166" fontId="1" fillId="0" borderId="0" xfId="7"/>
    <xf numFmtId="0" fontId="1" fillId="0" borderId="0" xfId="7" applyNumberFormat="1"/>
    <xf numFmtId="166" fontId="1" fillId="0" borderId="0" xfId="7" applyAlignment="1">
      <alignment horizontal="center"/>
    </xf>
    <xf numFmtId="166" fontId="1" fillId="4" borderId="0" xfId="7" applyFill="1" applyAlignment="1">
      <alignment horizontal="center"/>
    </xf>
    <xf numFmtId="166" fontId="1" fillId="4" borderId="0" xfId="7" applyFill="1"/>
    <xf numFmtId="166" fontId="1" fillId="0" borderId="1" xfId="7" applyBorder="1" applyAlignment="1">
      <alignment horizontal="center"/>
    </xf>
    <xf numFmtId="166" fontId="1" fillId="0" borderId="0" xfId="7" applyAlignment="1">
      <alignment horizontal="center" vertical="center"/>
    </xf>
    <xf numFmtId="166" fontId="1" fillId="0" borderId="1" xfId="7" applyBorder="1"/>
    <xf numFmtId="9" fontId="32" fillId="0" borderId="0" xfId="8" applyBorder="1" applyAlignment="1" applyProtection="1">
      <alignment horizontal="center"/>
    </xf>
    <xf numFmtId="166" fontId="21" fillId="5" borderId="0" xfId="7" applyFont="1" applyFill="1" applyAlignment="1">
      <alignment horizontal="center" vertical="center"/>
    </xf>
    <xf numFmtId="0" fontId="21" fillId="5" borderId="0" xfId="7" applyNumberFormat="1" applyFont="1" applyFill="1" applyAlignment="1">
      <alignment horizontal="center" vertical="center"/>
    </xf>
    <xf numFmtId="166" fontId="22" fillId="5" borderId="0" xfId="7" applyFont="1" applyFill="1" applyAlignment="1">
      <alignment horizontal="center"/>
    </xf>
    <xf numFmtId="166" fontId="22" fillId="5" borderId="0" xfId="7" applyFont="1" applyFill="1"/>
    <xf numFmtId="9" fontId="22" fillId="5" borderId="0" xfId="8" applyFont="1" applyFill="1" applyBorder="1" applyAlignment="1" applyProtection="1">
      <alignment horizontal="center"/>
    </xf>
    <xf numFmtId="169" fontId="23" fillId="0" borderId="1" xfId="7" applyNumberFormat="1" applyFont="1" applyBorder="1" applyAlignment="1">
      <alignment horizontal="center" vertical="center"/>
    </xf>
    <xf numFmtId="2" fontId="24" fillId="0" borderId="0" xfId="1" applyNumberFormat="1" applyFont="1" applyBorder="1" applyAlignment="1" applyProtection="1">
      <alignment vertical="center"/>
    </xf>
    <xf numFmtId="167" fontId="24" fillId="0" borderId="0" xfId="8" applyNumberFormat="1" applyFont="1" applyBorder="1" applyAlignment="1" applyProtection="1">
      <alignment horizontal="center" vertical="center"/>
    </xf>
    <xf numFmtId="9" fontId="24" fillId="0" borderId="0" xfId="8" applyFont="1" applyBorder="1" applyAlignment="1" applyProtection="1">
      <alignment horizontal="center" vertical="center"/>
    </xf>
    <xf numFmtId="170" fontId="24" fillId="0" borderId="0" xfId="8" applyNumberFormat="1" applyFont="1" applyBorder="1" applyAlignment="1" applyProtection="1">
      <alignment horizontal="center" vertical="center"/>
    </xf>
    <xf numFmtId="0" fontId="24" fillId="0" borderId="0" xfId="8" applyNumberFormat="1" applyFont="1" applyBorder="1" applyAlignment="1" applyProtection="1">
      <alignment horizontal="center" vertical="center"/>
    </xf>
    <xf numFmtId="171" fontId="24" fillId="0" borderId="0" xfId="4" applyNumberFormat="1" applyFont="1" applyBorder="1" applyAlignment="1" applyProtection="1">
      <alignment horizontal="center" vertical="center"/>
    </xf>
    <xf numFmtId="172" fontId="24" fillId="4" borderId="0" xfId="4" applyNumberFormat="1" applyFont="1" applyFill="1" applyBorder="1" applyAlignment="1" applyProtection="1">
      <alignment horizontal="center" vertical="center"/>
    </xf>
    <xf numFmtId="1" fontId="24" fillId="4" borderId="0" xfId="8" applyNumberFormat="1" applyFont="1" applyFill="1" applyBorder="1" applyAlignment="1" applyProtection="1">
      <alignment horizontal="center" vertical="center"/>
    </xf>
    <xf numFmtId="173" fontId="24" fillId="4" borderId="0" xfId="4" applyNumberFormat="1" applyFont="1" applyFill="1" applyBorder="1" applyAlignment="1" applyProtection="1">
      <alignment horizontal="center" vertical="center"/>
    </xf>
    <xf numFmtId="1" fontId="24" fillId="0" borderId="0" xfId="8" applyNumberFormat="1" applyFont="1" applyBorder="1" applyAlignment="1" applyProtection="1">
      <alignment horizontal="center" vertical="center"/>
    </xf>
    <xf numFmtId="174" fontId="24" fillId="0" borderId="0" xfId="4" applyNumberFormat="1" applyFont="1" applyBorder="1" applyAlignment="1" applyProtection="1">
      <alignment horizontal="center" vertical="center"/>
    </xf>
    <xf numFmtId="1" fontId="24" fillId="0" borderId="0" xfId="4" applyNumberFormat="1" applyFont="1" applyBorder="1" applyAlignment="1" applyProtection="1">
      <alignment horizontal="center" vertical="center"/>
    </xf>
    <xf numFmtId="166" fontId="25" fillId="0" borderId="0" xfId="7" applyFont="1" applyAlignment="1">
      <alignment horizontal="left"/>
    </xf>
    <xf numFmtId="9" fontId="25" fillId="0" borderId="0" xfId="8" applyFont="1" applyBorder="1" applyAlignment="1" applyProtection="1">
      <alignment horizontal="center"/>
    </xf>
    <xf numFmtId="2" fontId="1" fillId="0" borderId="0" xfId="2" applyNumberFormat="1" applyFont="1" applyBorder="1" applyAlignment="1" applyProtection="1">
      <alignment horizontal="center"/>
    </xf>
    <xf numFmtId="1" fontId="1" fillId="0" borderId="0" xfId="7" applyNumberFormat="1" applyAlignment="1">
      <alignment horizontal="center"/>
    </xf>
    <xf numFmtId="2" fontId="26" fillId="2" borderId="1" xfId="7" applyNumberFormat="1" applyFont="1" applyFill="1" applyBorder="1" applyAlignment="1">
      <alignment horizontal="center"/>
    </xf>
    <xf numFmtId="166" fontId="1" fillId="6" borderId="0" xfId="7" applyFill="1" applyAlignment="1">
      <alignment horizontal="left"/>
    </xf>
    <xf numFmtId="164" fontId="26" fillId="2" borderId="0" xfId="4" applyFont="1" applyFill="1" applyBorder="1" applyAlignment="1" applyProtection="1">
      <alignment horizontal="center"/>
    </xf>
    <xf numFmtId="164" fontId="32" fillId="7" borderId="0" xfId="4" applyFill="1" applyBorder="1" applyAlignment="1" applyProtection="1">
      <alignment horizontal="center"/>
    </xf>
    <xf numFmtId="2" fontId="32" fillId="7" borderId="0" xfId="4" applyNumberFormat="1" applyFill="1" applyBorder="1" applyAlignment="1" applyProtection="1">
      <alignment horizontal="center"/>
    </xf>
    <xf numFmtId="166" fontId="1" fillId="0" borderId="0" xfId="7" applyAlignment="1">
      <alignment horizontal="left"/>
    </xf>
    <xf numFmtId="10" fontId="32" fillId="8" borderId="0" xfId="8" applyNumberFormat="1" applyFill="1" applyBorder="1" applyAlignment="1" applyProtection="1">
      <alignment horizontal="left"/>
    </xf>
    <xf numFmtId="174" fontId="32" fillId="8" borderId="0" xfId="4" applyNumberFormat="1" applyFill="1" applyBorder="1" applyAlignment="1" applyProtection="1">
      <alignment horizontal="left"/>
    </xf>
    <xf numFmtId="2" fontId="32" fillId="8" borderId="0" xfId="4" applyNumberFormat="1" applyFill="1" applyBorder="1" applyAlignment="1" applyProtection="1">
      <alignment horizontal="center"/>
    </xf>
    <xf numFmtId="164" fontId="32" fillId="8" borderId="0" xfId="4" applyFill="1" applyBorder="1" applyAlignment="1" applyProtection="1">
      <alignment horizontal="left"/>
    </xf>
    <xf numFmtId="174" fontId="32" fillId="8" borderId="0" xfId="4" applyNumberFormat="1" applyFill="1" applyBorder="1" applyProtection="1"/>
    <xf numFmtId="171" fontId="32" fillId="8" borderId="0" xfId="4" applyNumberFormat="1" applyFill="1" applyBorder="1" applyProtection="1"/>
    <xf numFmtId="9" fontId="32" fillId="0" borderId="0" xfId="8" applyBorder="1" applyProtection="1"/>
    <xf numFmtId="164" fontId="32" fillId="0" borderId="0" xfId="4" applyBorder="1" applyProtection="1"/>
    <xf numFmtId="174" fontId="32" fillId="0" borderId="1" xfId="4" applyNumberFormat="1" applyBorder="1" applyAlignment="1" applyProtection="1">
      <alignment horizontal="center"/>
    </xf>
    <xf numFmtId="1" fontId="1" fillId="0" borderId="0" xfId="7" applyNumberFormat="1"/>
    <xf numFmtId="175" fontId="27" fillId="2" borderId="1" xfId="7" applyNumberFormat="1" applyFont="1" applyFill="1" applyBorder="1" applyAlignment="1">
      <alignment horizontal="center" vertical="center"/>
    </xf>
    <xf numFmtId="175" fontId="27" fillId="2" borderId="0" xfId="7" applyNumberFormat="1" applyFont="1" applyFill="1" applyAlignment="1">
      <alignment horizontal="center" vertical="center"/>
    </xf>
    <xf numFmtId="9" fontId="28" fillId="2" borderId="0" xfId="8" applyFont="1" applyFill="1" applyBorder="1" applyAlignment="1" applyProtection="1">
      <alignment vertical="center"/>
    </xf>
    <xf numFmtId="176" fontId="27" fillId="2" borderId="0" xfId="7" applyNumberFormat="1" applyFont="1" applyFill="1" applyAlignment="1">
      <alignment horizontal="center" vertical="center"/>
    </xf>
    <xf numFmtId="177" fontId="27" fillId="2" borderId="0" xfId="8" applyNumberFormat="1" applyFont="1" applyFill="1" applyBorder="1" applyAlignment="1" applyProtection="1">
      <alignment horizontal="center" vertical="center"/>
    </xf>
    <xf numFmtId="9" fontId="27" fillId="2" borderId="0" xfId="8" applyFont="1" applyFill="1" applyBorder="1" applyAlignment="1" applyProtection="1">
      <alignment horizontal="center" vertical="center"/>
    </xf>
    <xf numFmtId="9" fontId="28" fillId="2" borderId="0" xfId="8" applyFont="1" applyFill="1" applyBorder="1" applyAlignment="1" applyProtection="1">
      <alignment horizontal="center" vertical="center"/>
    </xf>
    <xf numFmtId="9" fontId="24" fillId="0" borderId="0" xfId="3" applyFont="1" applyBorder="1" applyAlignment="1" applyProtection="1">
      <alignment horizontal="center" vertical="center"/>
    </xf>
    <xf numFmtId="174" fontId="32" fillId="0" borderId="0" xfId="4" applyNumberFormat="1" applyBorder="1" applyAlignment="1" applyProtection="1">
      <alignment horizontal="left"/>
    </xf>
    <xf numFmtId="167" fontId="25" fillId="0" borderId="0" xfId="8" applyNumberFormat="1" applyFont="1" applyBorder="1" applyAlignment="1" applyProtection="1">
      <alignment horizontal="center"/>
    </xf>
    <xf numFmtId="2" fontId="32" fillId="0" borderId="0" xfId="2" applyNumberFormat="1" applyBorder="1" applyAlignment="1" applyProtection="1">
      <alignment horizontal="center"/>
    </xf>
    <xf numFmtId="1" fontId="1" fillId="0" borderId="1" xfId="7" applyNumberFormat="1" applyBorder="1" applyAlignment="1">
      <alignment horizontal="center"/>
    </xf>
    <xf numFmtId="166" fontId="1" fillId="8" borderId="0" xfId="7" applyFill="1"/>
    <xf numFmtId="167" fontId="1" fillId="0" borderId="0" xfId="8" applyNumberFormat="1" applyFont="1" applyBorder="1" applyAlignment="1" applyProtection="1">
      <alignment horizontal="center"/>
    </xf>
    <xf numFmtId="174" fontId="32" fillId="0" borderId="0" xfId="4" applyNumberFormat="1" applyBorder="1" applyAlignment="1" applyProtection="1">
      <alignment horizontal="center"/>
    </xf>
    <xf numFmtId="166" fontId="1" fillId="0" borderId="0" xfId="7" applyAlignment="1">
      <alignment horizontal="left" vertical="center"/>
    </xf>
    <xf numFmtId="166" fontId="25" fillId="0" borderId="0" xfId="7" applyFont="1"/>
    <xf numFmtId="168" fontId="0" fillId="0" borderId="0" xfId="0" applyNumberFormat="1"/>
    <xf numFmtId="9" fontId="32" fillId="0" borderId="0" xfId="3" applyBorder="1" applyProtection="1"/>
    <xf numFmtId="9" fontId="0" fillId="0" borderId="0" xfId="0" applyNumberFormat="1"/>
    <xf numFmtId="2" fontId="0" fillId="0" borderId="0" xfId="0" applyNumberFormat="1"/>
    <xf numFmtId="0" fontId="6" fillId="9" borderId="0" xfId="0" applyFont="1" applyFill="1" applyAlignment="1">
      <alignment vertical="center"/>
    </xf>
    <xf numFmtId="9" fontId="13" fillId="2" borderId="0" xfId="0" applyNumberFormat="1" applyFont="1" applyFill="1" applyAlignment="1">
      <alignment horizontal="left"/>
    </xf>
    <xf numFmtId="0" fontId="3" fillId="0" borderId="0" xfId="0" applyFont="1"/>
    <xf numFmtId="0" fontId="29" fillId="0" borderId="0" xfId="0" applyFont="1"/>
    <xf numFmtId="0" fontId="30" fillId="0" borderId="0" xfId="0" applyFont="1" applyAlignment="1">
      <alignment vertical="center" wrapText="1"/>
    </xf>
    <xf numFmtId="0" fontId="31" fillId="0" borderId="3" xfId="0" applyFont="1" applyBorder="1" applyAlignment="1">
      <alignment vertical="center" wrapText="1"/>
    </xf>
    <xf numFmtId="0" fontId="0" fillId="2" borderId="0" xfId="0" applyFill="1" applyAlignment="1">
      <alignment vertical="center" wrapText="1"/>
    </xf>
    <xf numFmtId="0" fontId="0" fillId="0" borderId="0" xfId="0" applyAlignment="1">
      <alignment vertical="center" wrapText="1"/>
    </xf>
    <xf numFmtId="14" fontId="4" fillId="2" borderId="0" xfId="0" applyNumberFormat="1" applyFont="1" applyFill="1"/>
    <xf numFmtId="14" fontId="0" fillId="0" borderId="0" xfId="0" applyNumberFormat="1"/>
    <xf numFmtId="169" fontId="34" fillId="0" borderId="1" xfId="7" applyNumberFormat="1" applyFont="1" applyBorder="1" applyAlignment="1">
      <alignment horizontal="center" vertical="center"/>
    </xf>
    <xf numFmtId="2" fontId="35" fillId="0" borderId="0" xfId="1" applyNumberFormat="1" applyFont="1" applyBorder="1" applyAlignment="1">
      <alignment horizontal="center" vertical="center"/>
    </xf>
    <xf numFmtId="167" fontId="35" fillId="0" borderId="0" xfId="8" applyNumberFormat="1" applyFont="1" applyAlignment="1">
      <alignment horizontal="center" vertical="center"/>
    </xf>
    <xf numFmtId="9" fontId="35" fillId="0" borderId="0" xfId="8" applyFont="1" applyAlignment="1">
      <alignment horizontal="center" vertical="center"/>
    </xf>
    <xf numFmtId="170" fontId="35" fillId="0" borderId="0" xfId="8" applyNumberFormat="1" applyFont="1" applyAlignment="1">
      <alignment horizontal="center" vertical="center"/>
    </xf>
    <xf numFmtId="9" fontId="35" fillId="0" borderId="0" xfId="3" applyFont="1" applyAlignment="1">
      <alignment horizontal="center" vertical="center"/>
    </xf>
    <xf numFmtId="178" fontId="35" fillId="0" borderId="0" xfId="4" applyNumberFormat="1" applyFont="1" applyAlignment="1">
      <alignment horizontal="center" vertical="center"/>
    </xf>
    <xf numFmtId="2" fontId="35" fillId="0" borderId="0" xfId="8" applyNumberFormat="1" applyFont="1" applyAlignment="1">
      <alignment horizontal="center" vertical="center"/>
    </xf>
    <xf numFmtId="179" fontId="35" fillId="10" borderId="0" xfId="4" applyNumberFormat="1" applyFont="1" applyFill="1" applyAlignment="1">
      <alignment horizontal="center" vertical="center"/>
    </xf>
    <xf numFmtId="1" fontId="35" fillId="10" borderId="0" xfId="8" applyNumberFormat="1" applyFont="1" applyFill="1" applyAlignment="1">
      <alignment horizontal="center" vertical="center"/>
    </xf>
    <xf numFmtId="180" fontId="35" fillId="10" borderId="0" xfId="4" applyNumberFormat="1" applyFont="1" applyFill="1" applyAlignment="1">
      <alignment horizontal="center" vertical="center"/>
    </xf>
    <xf numFmtId="181" fontId="35" fillId="10" borderId="0" xfId="1" applyNumberFormat="1" applyFont="1" applyFill="1" applyAlignment="1">
      <alignment horizontal="center" vertical="center"/>
    </xf>
    <xf numFmtId="181" fontId="35" fillId="0" borderId="0" xfId="1" applyNumberFormat="1" applyFont="1" applyAlignment="1">
      <alignment horizontal="center" vertical="center"/>
    </xf>
    <xf numFmtId="1" fontId="35" fillId="0" borderId="0" xfId="4" applyNumberFormat="1" applyFont="1" applyAlignment="1">
      <alignment horizontal="center" vertical="center"/>
    </xf>
    <xf numFmtId="0" fontId="36" fillId="11" borderId="4" xfId="0" applyFont="1" applyFill="1" applyBorder="1" applyAlignment="1">
      <alignment horizontal="left" vertical="center" readingOrder="1"/>
    </xf>
    <xf numFmtId="43" fontId="36" fillId="11" borderId="4" xfId="0" applyNumberFormat="1" applyFont="1" applyFill="1" applyBorder="1" applyAlignment="1">
      <alignment horizontal="right" vertical="center" readingOrder="1"/>
    </xf>
    <xf numFmtId="182" fontId="36" fillId="11" borderId="4" xfId="0" applyNumberFormat="1" applyFont="1" applyFill="1" applyBorder="1" applyAlignment="1">
      <alignment horizontal="right" vertical="center" readingOrder="1"/>
    </xf>
    <xf numFmtId="9" fontId="33" fillId="0" borderId="0" xfId="8" applyFont="1" applyBorder="1" applyAlignment="1">
      <alignment horizontal="center"/>
    </xf>
    <xf numFmtId="9" fontId="36" fillId="12" borderId="5" xfId="3" applyFont="1" applyFill="1" applyBorder="1" applyAlignment="1">
      <alignment horizontal="right" vertical="center" readingOrder="1"/>
    </xf>
    <xf numFmtId="181" fontId="33" fillId="0" borderId="0" xfId="1" applyNumberFormat="1" applyFont="1" applyAlignment="1">
      <alignment horizontal="center"/>
    </xf>
    <xf numFmtId="9" fontId="33" fillId="0" borderId="0" xfId="3" applyFont="1" applyAlignment="1">
      <alignment horizontal="center"/>
    </xf>
    <xf numFmtId="0" fontId="35" fillId="0" borderId="0" xfId="8" applyNumberFormat="1" applyFont="1" applyAlignment="1">
      <alignment horizontal="center" vertical="center"/>
    </xf>
    <xf numFmtId="166" fontId="37" fillId="13" borderId="2" xfId="7" applyFont="1" applyFill="1" applyBorder="1" applyAlignment="1">
      <alignment horizontal="center" vertical="center" wrapText="1"/>
    </xf>
    <xf numFmtId="166" fontId="38" fillId="13" borderId="0" xfId="7" applyFont="1" applyFill="1" applyAlignment="1">
      <alignment horizontal="center"/>
    </xf>
    <xf numFmtId="1" fontId="35" fillId="0" borderId="0" xfId="8" applyNumberFormat="1" applyFont="1" applyAlignment="1">
      <alignment horizontal="center" vertical="center"/>
    </xf>
    <xf numFmtId="181" fontId="35" fillId="0" borderId="0" xfId="4" applyNumberFormat="1" applyFont="1" applyAlignment="1">
      <alignment horizontal="center" vertical="center"/>
    </xf>
    <xf numFmtId="166" fontId="1" fillId="0" borderId="4" xfId="7" applyBorder="1" applyAlignment="1">
      <alignment horizontal="center"/>
    </xf>
    <xf numFmtId="2" fontId="33" fillId="0" borderId="4" xfId="2" applyNumberFormat="1" applyFont="1" applyBorder="1" applyAlignment="1">
      <alignment horizontal="center"/>
    </xf>
    <xf numFmtId="1" fontId="1" fillId="0" borderId="0" xfId="7" applyNumberFormat="1" applyAlignment="1">
      <alignment horizontal="left"/>
    </xf>
    <xf numFmtId="0" fontId="36" fillId="12" borderId="4" xfId="0" applyFont="1" applyFill="1" applyBorder="1" applyAlignment="1">
      <alignment horizontal="left" vertical="center" readingOrder="1"/>
    </xf>
    <xf numFmtId="182" fontId="36" fillId="12" borderId="4" xfId="0" applyNumberFormat="1" applyFont="1" applyFill="1" applyBorder="1" applyAlignment="1">
      <alignment horizontal="right" vertical="center" readingOrder="1"/>
    </xf>
    <xf numFmtId="9" fontId="33" fillId="0" borderId="0" xfId="3" applyFont="1" applyBorder="1" applyAlignment="1">
      <alignment horizontal="center"/>
    </xf>
    <xf numFmtId="167" fontId="32" fillId="0" borderId="0" xfId="3" applyNumberFormat="1" applyBorder="1" applyProtection="1"/>
    <xf numFmtId="174" fontId="32" fillId="0" borderId="0" xfId="4" applyNumberFormat="1" applyBorder="1" applyProtection="1"/>
    <xf numFmtId="0" fontId="6" fillId="3" borderId="0" xfId="0" applyFont="1" applyFill="1" applyAlignment="1">
      <alignment horizontal="center" vertical="center"/>
    </xf>
    <xf numFmtId="167" fontId="6" fillId="2" borderId="0" xfId="0" applyNumberFormat="1" applyFont="1" applyFill="1" applyAlignment="1">
      <alignment horizontal="center" vertical="center"/>
    </xf>
    <xf numFmtId="167" fontId="12" fillId="2" borderId="0" xfId="0" applyNumberFormat="1" applyFont="1" applyFill="1" applyAlignment="1">
      <alignment horizontal="left" vertical="center"/>
    </xf>
    <xf numFmtId="166" fontId="37" fillId="13" borderId="0" xfId="7" applyFont="1" applyFill="1" applyAlignment="1">
      <alignment horizontal="center" vertical="center" wrapText="1"/>
    </xf>
    <xf numFmtId="166" fontId="39" fillId="13" borderId="0" xfId="7" applyFont="1" applyFill="1" applyAlignment="1">
      <alignment horizontal="center" vertical="center"/>
    </xf>
    <xf numFmtId="168" fontId="22" fillId="5" borderId="0" xfId="7" applyNumberFormat="1" applyFont="1" applyFill="1" applyAlignment="1">
      <alignment horizontal="center" vertical="center"/>
    </xf>
    <xf numFmtId="166" fontId="21" fillId="5" borderId="0" xfId="7" applyFont="1" applyFill="1" applyAlignment="1">
      <alignment horizontal="center" vertical="center" wrapText="1"/>
    </xf>
    <xf numFmtId="185" fontId="0" fillId="0" borderId="0" xfId="0" applyNumberFormat="1"/>
  </cellXfs>
  <cellStyles count="10">
    <cellStyle name="Comma" xfId="1" builtinId="3"/>
    <cellStyle name="Comma 2" xfId="4" xr:uid="{00000000-0005-0000-0000-000006000000}"/>
    <cellStyle name="Currency" xfId="2" builtinId="4"/>
    <cellStyle name="Currency 2" xfId="5" xr:uid="{00000000-0005-0000-0000-000007000000}"/>
    <cellStyle name="Normal" xfId="0" builtinId="0"/>
    <cellStyle name="Normal 2" xfId="6" xr:uid="{00000000-0005-0000-0000-000008000000}"/>
    <cellStyle name="Normal 3" xfId="7" xr:uid="{00000000-0005-0000-0000-000009000000}"/>
    <cellStyle name="Percent" xfId="3" builtinId="5"/>
    <cellStyle name="Percent 2" xfId="8" xr:uid="{00000000-0005-0000-0000-00000A000000}"/>
    <cellStyle name="Style 1" xfId="9" xr:uid="{00000000-0005-0000-0000-00000B000000}"/>
  </cellStyles>
  <dxfs count="1">
    <dxf>
      <fill>
        <patternFill>
          <bgColor theme="3" tint="0.7998901333658864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5F52"/>
      <rgbColor rgb="FF800080"/>
      <rgbColor rgb="FF008080"/>
      <rgbColor rgb="FFC7BFBC"/>
      <rgbColor rgb="FF8B8B8B"/>
      <rgbColor rgb="FFA6A6A6"/>
      <rgbColor rgb="FF705448"/>
      <rgbColor rgb="FFF5F5F5"/>
      <rgbColor rgb="FFF2F2F2"/>
      <rgbColor rgb="FF660066"/>
      <rgbColor rgb="FFFF8080"/>
      <rgbColor rgb="FF0066CC"/>
      <rgbColor rgb="FFD6D6D6"/>
      <rgbColor rgb="FF000080"/>
      <rgbColor rgb="FFFF00FF"/>
      <rgbColor rgb="FFFFFF00"/>
      <rgbColor rgb="FF00FFFF"/>
      <rgbColor rgb="FF800080"/>
      <rgbColor rgb="FF800000"/>
      <rgbColor rgb="FF008080"/>
      <rgbColor rgb="FF0000FF"/>
      <rgbColor rgb="FF00CCFF"/>
      <rgbColor rgb="FFE5E7EB"/>
      <rgbColor rgb="FFF0E5DA"/>
      <rgbColor rgb="FFFADDCD"/>
      <rgbColor rgb="FFD9D9D9"/>
      <rgbColor rgb="FFFF99CC"/>
      <rgbColor rgb="FFCC99FF"/>
      <rgbColor rgb="FFF9CFC2"/>
      <rgbColor rgb="FF3366FF"/>
      <rgbColor rgb="FF33CCCC"/>
      <rgbColor rgb="FF99CC00"/>
      <rgbColor rgb="FFFFCC00"/>
      <rgbColor rgb="FFFF9900"/>
      <rgbColor rgb="FFFF6600"/>
      <rgbColor rgb="FF6B7281"/>
      <rgbColor rgb="FFA89994"/>
      <rgbColor rgb="FF003366"/>
      <rgbColor rgb="FF595959"/>
      <rgbColor rgb="FF07080A"/>
      <rgbColor rgb="FF404040"/>
      <rgbColor rgb="FFAE1E2E"/>
      <rgbColor rgb="FF60483E"/>
      <rgbColor rgb="FF4B5563"/>
      <rgbColor rgb="FF3232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Data...530484916</v>
        <stp/>
        <stp>BDP|11913955151909728871</stp>
        <tr r="CI6" s="3"/>
      </tp>
    </main>
    <main first="bofaddin.rtdserver">
      <tp t="s">
        <v>#N/A Requesting Data...3766511369</v>
        <stp/>
        <stp>BDP|5872233898835132703</stp>
        <tr r="CI4" s="3"/>
      </tp>
      <tp t="s">
        <v>#N/A Requesting Data...1724344520</v>
        <stp/>
        <stp>BDP|3352872200047046158</stp>
        <tr r="CI3" s="3"/>
      </tp>
      <tp t="s">
        <v>#N/A Requesting Data...3051439136</v>
        <stp/>
        <stp>BDP|4639078413468701993</stp>
        <tr r="CI8" s="3"/>
        <tr r="CI7" s="3"/>
      </tp>
      <tp t="s">
        <v>#N/A Requesting Data...3590692652</v>
        <stp/>
        <stp>BDP|3051230426253139015</stp>
        <tr r="CI5" s="3"/>
      </tp>
    </main>
  </volType>
</volType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volatileDependencies" Target="volatileDependenci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4.8588358313001102E-2"/>
          <c:y val="0"/>
          <c:w val="0.89449285465318895"/>
          <c:h val="0.99990716672855595"/>
        </c:manualLayout>
      </c:layout>
      <c:lineChart>
        <c:grouping val="standard"/>
        <c:varyColors val="0"/>
        <c:ser>
          <c:idx val="0"/>
          <c:order val="0"/>
          <c:spPr>
            <a:ln w="28440" cap="rnd">
              <a:solidFill>
                <a:srgbClr val="000000"/>
              </a:solidFill>
              <a:round/>
            </a:ln>
          </c:spPr>
          <c:marker>
            <c:symbol val="none"/>
          </c:marker>
          <c:dPt>
            <c:idx val="0"/>
            <c:bubble3D val="0"/>
            <c:extLst>
              <c:ext xmlns:c16="http://schemas.microsoft.com/office/drawing/2014/chart" uri="{C3380CC4-5D6E-409C-BE32-E72D297353CC}">
                <c16:uniqueId val="{00000000-BDE7-4CD4-8C30-FC32244F8498}"/>
              </c:ext>
            </c:extLst>
          </c:dPt>
          <c:dPt>
            <c:idx val="1"/>
            <c:bubble3D val="0"/>
            <c:extLst>
              <c:ext xmlns:c16="http://schemas.microsoft.com/office/drawing/2014/chart" uri="{C3380CC4-5D6E-409C-BE32-E72D297353CC}">
                <c16:uniqueId val="{00000001-BDE7-4CD4-8C30-FC32244F8498}"/>
              </c:ext>
            </c:extLst>
          </c:dPt>
          <c:dPt>
            <c:idx val="2"/>
            <c:bubble3D val="0"/>
            <c:extLst>
              <c:ext xmlns:c16="http://schemas.microsoft.com/office/drawing/2014/chart" uri="{C3380CC4-5D6E-409C-BE32-E72D297353CC}">
                <c16:uniqueId val="{00000002-BDE7-4CD4-8C30-FC32244F8498}"/>
              </c:ext>
            </c:extLst>
          </c:dPt>
          <c:dPt>
            <c:idx val="3"/>
            <c:bubble3D val="0"/>
            <c:extLst>
              <c:ext xmlns:c16="http://schemas.microsoft.com/office/drawing/2014/chart" uri="{C3380CC4-5D6E-409C-BE32-E72D297353CC}">
                <c16:uniqueId val="{00000003-BDE7-4CD4-8C30-FC32244F8498}"/>
              </c:ext>
            </c:extLst>
          </c:dPt>
          <c:dLbls>
            <c:dLbl>
              <c:idx val="0"/>
              <c:spPr/>
              <c:txPr>
                <a:bodyPr wrap="square"/>
                <a:lstStyle/>
                <a:p>
                  <a:pPr>
                    <a:defRPr sz="1200" b="0" u="none" strike="noStrike">
                      <a:solidFill>
                        <a:srgbClr val="404040"/>
                      </a:solidFill>
                      <a:uFillTx/>
                      <a:latin typeface="Montserrat"/>
                    </a:defRPr>
                  </a:pPr>
                  <a:endParaRPr lang="en-US"/>
                </a:p>
              </c:txPr>
              <c:dLblPos val="r"/>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0-BDE7-4CD4-8C30-FC32244F8498}"/>
                </c:ext>
              </c:extLst>
            </c:dLbl>
            <c:dLbl>
              <c:idx val="1"/>
              <c:spPr/>
              <c:txPr>
                <a:bodyPr wrap="square"/>
                <a:lstStyle/>
                <a:p>
                  <a:pPr>
                    <a:defRPr sz="1200" b="0" u="none" strike="noStrike">
                      <a:solidFill>
                        <a:srgbClr val="404040"/>
                      </a:solidFill>
                      <a:uFillTx/>
                      <a:latin typeface="Montserrat"/>
                    </a:defRPr>
                  </a:pPr>
                  <a:endParaRPr lang="en-US"/>
                </a:p>
              </c:txPr>
              <c:dLblPos val="r"/>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BDE7-4CD4-8C30-FC32244F8498}"/>
                </c:ext>
              </c:extLst>
            </c:dLbl>
            <c:dLbl>
              <c:idx val="2"/>
              <c:spPr/>
              <c:txPr>
                <a:bodyPr wrap="square"/>
                <a:lstStyle/>
                <a:p>
                  <a:pPr>
                    <a:defRPr sz="1200" b="0" u="none" strike="noStrike">
                      <a:solidFill>
                        <a:srgbClr val="404040"/>
                      </a:solidFill>
                      <a:uFillTx/>
                      <a:latin typeface="Montserrat"/>
                    </a:defRPr>
                  </a:pPr>
                  <a:endParaRPr lang="en-US"/>
                </a:p>
              </c:txPr>
              <c:dLblPos val="r"/>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BDE7-4CD4-8C30-FC32244F8498}"/>
                </c:ext>
              </c:extLst>
            </c:dLbl>
            <c:dLbl>
              <c:idx val="3"/>
              <c:layout>
                <c:manualLayout>
                  <c:x val="0"/>
                  <c:y val="-6.55319153327652E-3"/>
                </c:manualLayout>
              </c:layout>
              <c:spPr/>
              <c:txPr>
                <a:bodyPr wrap="square"/>
                <a:lstStyle/>
                <a:p>
                  <a:pPr>
                    <a:defRPr sz="1200" b="0" u="none" strike="noStrike">
                      <a:solidFill>
                        <a:srgbClr val="404040"/>
                      </a:solidFill>
                      <a:uFillTx/>
                      <a:latin typeface="Montserrat"/>
                    </a:defRPr>
                  </a:pPr>
                  <a:endParaRPr lang="en-US"/>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BDE7-4CD4-8C30-FC32244F8498}"/>
                </c:ext>
              </c:extLst>
            </c:dLbl>
            <c:spPr>
              <a:noFill/>
              <a:ln>
                <a:noFill/>
              </a:ln>
              <a:effectLst/>
            </c:spPr>
            <c:txPr>
              <a:bodyPr wrap="square"/>
              <a:lstStyle/>
              <a:p>
                <a:pPr>
                  <a:defRPr sz="1200" b="0" u="none" strike="noStrike">
                    <a:solidFill>
                      <a:srgbClr val="404040"/>
                    </a:solidFill>
                    <a:uFillTx/>
                    <a:latin typeface="Montserrat"/>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28440">
                      <a:solidFill>
                        <a:srgbClr val="000000"/>
                      </a:solidFill>
                    </a:ln>
                  </c:spPr>
                </c15:leaderLines>
              </c:ext>
            </c:extLst>
          </c:dLbls>
          <c:cat>
            <c:numRef>
              <c:f>Performancedata!$A$3:$A$6</c:f>
              <c:numCache>
                <c:formatCode>dd\ mmm\ yy</c:formatCode>
                <c:ptCount val="4"/>
                <c:pt idx="0">
                  <c:v>45838</c:v>
                </c:pt>
                <c:pt idx="1">
                  <c:v>45869</c:v>
                </c:pt>
                <c:pt idx="2">
                  <c:v>45900</c:v>
                </c:pt>
                <c:pt idx="3">
                  <c:v>45930</c:v>
                </c:pt>
              </c:numCache>
            </c:numRef>
          </c:cat>
          <c:val>
            <c:numRef>
              <c:f>Performancedata!$D$3:$D$6</c:f>
              <c:numCache>
                <c:formatCode>0.0%</c:formatCode>
                <c:ptCount val="4"/>
                <c:pt idx="0">
                  <c:v>0</c:v>
                </c:pt>
                <c:pt idx="1">
                  <c:v>2.6599999999999957E-2</c:v>
                </c:pt>
                <c:pt idx="2">
                  <c:v>5.04E-2</c:v>
                </c:pt>
                <c:pt idx="3">
                  <c:v>8.5395999999999805E-2</c:v>
                </c:pt>
              </c:numCache>
            </c:numRef>
          </c:val>
          <c:smooth val="1"/>
          <c:extLst>
            <c:ext xmlns:c16="http://schemas.microsoft.com/office/drawing/2014/chart" uri="{C3380CC4-5D6E-409C-BE32-E72D297353CC}">
              <c16:uniqueId val="{00000004-BDE7-4CD4-8C30-FC32244F8498}"/>
            </c:ext>
          </c:extLst>
        </c:ser>
        <c:dLbls>
          <c:showLegendKey val="0"/>
          <c:showVal val="0"/>
          <c:showCatName val="0"/>
          <c:showSerName val="0"/>
          <c:showPercent val="0"/>
          <c:showBubbleSize val="0"/>
        </c:dLbls>
        <c:hiLowLines>
          <c:spPr>
            <a:ln w="0">
              <a:noFill/>
            </a:ln>
          </c:spPr>
        </c:hiLowLines>
        <c:smooth val="0"/>
        <c:axId val="51544048"/>
        <c:axId val="42699417"/>
      </c:lineChart>
      <c:dateAx>
        <c:axId val="51544048"/>
        <c:scaling>
          <c:orientation val="minMax"/>
        </c:scaling>
        <c:delete val="0"/>
        <c:axPos val="b"/>
        <c:numFmt formatCode="mmm\ yy" sourceLinked="0"/>
        <c:majorTickMark val="out"/>
        <c:minorTickMark val="none"/>
        <c:tickLblPos val="nextTo"/>
        <c:spPr>
          <a:ln w="9360">
            <a:solidFill>
              <a:srgbClr val="D9D9D9"/>
            </a:solidFill>
            <a:round/>
          </a:ln>
        </c:spPr>
        <c:txPr>
          <a:bodyPr/>
          <a:lstStyle/>
          <a:p>
            <a:pPr>
              <a:defRPr sz="1600" b="0" u="none" strike="noStrike">
                <a:solidFill>
                  <a:srgbClr val="595959"/>
                </a:solidFill>
                <a:uFillTx/>
                <a:latin typeface="Aptos"/>
              </a:defRPr>
            </a:pPr>
            <a:endParaRPr lang="en-US"/>
          </a:p>
        </c:txPr>
        <c:crossAx val="42699417"/>
        <c:crosses val="autoZero"/>
        <c:auto val="1"/>
        <c:lblOffset val="100"/>
        <c:baseTimeUnit val="months"/>
      </c:dateAx>
      <c:valAx>
        <c:axId val="42699417"/>
        <c:scaling>
          <c:orientation val="minMax"/>
        </c:scaling>
        <c:delete val="0"/>
        <c:axPos val="l"/>
        <c:numFmt formatCode="0%" sourceLinked="0"/>
        <c:majorTickMark val="out"/>
        <c:minorTickMark val="none"/>
        <c:tickLblPos val="nextTo"/>
        <c:spPr>
          <a:ln w="6480">
            <a:noFill/>
          </a:ln>
        </c:spPr>
        <c:txPr>
          <a:bodyPr/>
          <a:lstStyle/>
          <a:p>
            <a:pPr>
              <a:defRPr sz="1600" b="0" u="none" strike="noStrike">
                <a:solidFill>
                  <a:srgbClr val="595959"/>
                </a:solidFill>
                <a:uFillTx/>
                <a:latin typeface="Aptos"/>
              </a:defRPr>
            </a:pPr>
            <a:endParaRPr lang="en-US"/>
          </a:p>
        </c:txPr>
        <c:crossAx val="51544048"/>
        <c:crosses val="autoZero"/>
        <c:crossBetween val="midCat"/>
      </c:valAx>
      <c:spPr>
        <a:noFill/>
        <a:ln w="0">
          <a:noFill/>
        </a:ln>
      </c:spPr>
    </c:plotArea>
    <c:plotVisOnly val="1"/>
    <c:dispBlanksAs val="gap"/>
    <c:showDLblsOverMax val="1"/>
  </c:chart>
  <c:spPr>
    <a:no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7.32117449230371E-2"/>
          <c:y val="0.164317228021091"/>
          <c:w val="0.85208899236838698"/>
          <c:h val="0.73162595501990801"/>
        </c:manualLayout>
      </c:layout>
      <c:barChart>
        <c:barDir val="bar"/>
        <c:grouping val="clustered"/>
        <c:varyColors val="0"/>
        <c:ser>
          <c:idx val="0"/>
          <c:order val="0"/>
          <c:spPr>
            <a:solidFill>
              <a:srgbClr val="D9D9D9"/>
            </a:solidFill>
            <a:ln w="3240">
              <a:solidFill>
                <a:srgbClr val="000000"/>
              </a:solidFill>
              <a:round/>
            </a:ln>
          </c:spPr>
          <c:invertIfNegative val="0"/>
          <c:dLbls>
            <c:spPr>
              <a:noFill/>
              <a:ln>
                <a:noFill/>
              </a:ln>
              <a:effectLst/>
            </c:spPr>
            <c:txPr>
              <a:bodyPr wrap="square"/>
              <a:lstStyle/>
              <a:p>
                <a:pPr>
                  <a:defRPr sz="1000" b="0" u="none" strike="noStrike">
                    <a:solidFill>
                      <a:srgbClr val="000000"/>
                    </a:solidFill>
                    <a:uFillTx/>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Performancedata!$BQ$3:$BQ$10</c:f>
              <c:strCache>
                <c:ptCount val="8"/>
                <c:pt idx="1">
                  <c:v>23%</c:v>
                </c:pt>
                <c:pt idx="2">
                  <c:v>38%</c:v>
                </c:pt>
                <c:pt idx="3">
                  <c:v>45%</c:v>
                </c:pt>
                <c:pt idx="4">
                  <c:v>29%</c:v>
                </c:pt>
                <c:pt idx="5">
                  <c:v>29%</c:v>
                </c:pt>
                <c:pt idx="6">
                  <c:v> COMMUNICATIONS </c:v>
                </c:pt>
                <c:pt idx="7">
                  <c:v> CASH </c:v>
                </c:pt>
              </c:strCache>
            </c:strRef>
          </c:cat>
          <c:val>
            <c:numRef>
              <c:f>Performancedata!$BR$3:$BR$10</c:f>
              <c:numCache>
                <c:formatCode>0%</c:formatCode>
                <c:ptCount val="8"/>
                <c:pt idx="1">
                  <c:v>-3.857844178093461E-3</c:v>
                </c:pt>
                <c:pt idx="2">
                  <c:v>-0.10756916067491164</c:v>
                </c:pt>
                <c:pt idx="3">
                  <c:v>-0.25362020227972404</c:v>
                </c:pt>
                <c:pt idx="4">
                  <c:v>-0.18967712596634834</c:v>
                </c:pt>
                <c:pt idx="5">
                  <c:v>-0.18967712596634834</c:v>
                </c:pt>
                <c:pt idx="6">
                  <c:v>0.25</c:v>
                </c:pt>
                <c:pt idx="7">
                  <c:v>0.54</c:v>
                </c:pt>
              </c:numCache>
            </c:numRef>
          </c:val>
          <c:extLst>
            <c:ext xmlns:c16="http://schemas.microsoft.com/office/drawing/2014/chart" uri="{C3380CC4-5D6E-409C-BE32-E72D297353CC}">
              <c16:uniqueId val="{00000000-4000-4E1F-BA38-191C0FDFC2BD}"/>
            </c:ext>
          </c:extLst>
        </c:ser>
        <c:dLbls>
          <c:showLegendKey val="0"/>
          <c:showVal val="0"/>
          <c:showCatName val="0"/>
          <c:showSerName val="0"/>
          <c:showPercent val="0"/>
          <c:showBubbleSize val="0"/>
        </c:dLbls>
        <c:gapWidth val="100"/>
        <c:axId val="90778593"/>
        <c:axId val="90271679"/>
      </c:barChart>
      <c:catAx>
        <c:axId val="90778593"/>
        <c:scaling>
          <c:orientation val="minMax"/>
        </c:scaling>
        <c:delete val="0"/>
        <c:axPos val="l"/>
        <c:numFmt formatCode="General" sourceLinked="0"/>
        <c:majorTickMark val="none"/>
        <c:minorTickMark val="none"/>
        <c:tickLblPos val="nextTo"/>
        <c:spPr>
          <a:ln w="6480">
            <a:solidFill>
              <a:srgbClr val="8B8B8B"/>
            </a:solidFill>
            <a:round/>
          </a:ln>
        </c:spPr>
        <c:txPr>
          <a:bodyPr/>
          <a:lstStyle/>
          <a:p>
            <a:pPr>
              <a:defRPr sz="1200" b="0" u="none" strike="noStrike">
                <a:solidFill>
                  <a:srgbClr val="000000"/>
                </a:solidFill>
                <a:uFillTx/>
                <a:latin typeface="Aptos"/>
              </a:defRPr>
            </a:pPr>
            <a:endParaRPr lang="en-US"/>
          </a:p>
        </c:txPr>
        <c:crossAx val="90271679"/>
        <c:crosses val="autoZero"/>
        <c:auto val="1"/>
        <c:lblAlgn val="ctr"/>
        <c:lblOffset val="100"/>
        <c:noMultiLvlLbl val="0"/>
      </c:catAx>
      <c:valAx>
        <c:axId val="90271679"/>
        <c:scaling>
          <c:orientation val="minMax"/>
        </c:scaling>
        <c:delete val="0"/>
        <c:axPos val="b"/>
        <c:title>
          <c:tx>
            <c:rich>
              <a:bodyPr rot="0"/>
              <a:lstStyle/>
              <a:p>
                <a:pPr>
                  <a:defRPr sz="1300" b="0" u="none" strike="noStrike">
                    <a:uFillTx/>
                    <a:latin typeface="Arial"/>
                  </a:defRPr>
                </a:pPr>
                <a:r>
                  <a:rPr lang="en-AU" sz="1600" b="0" u="none" strike="noStrike">
                    <a:solidFill>
                      <a:srgbClr val="000000"/>
                    </a:solidFill>
                    <a:uFillTx/>
                    <a:latin typeface="Montserrat"/>
                  </a:rPr>
                  <a:t>SECTOR EXPOSURE</a:t>
                </a:r>
              </a:p>
            </c:rich>
          </c:tx>
          <c:layout>
            <c:manualLayout>
              <c:xMode val="edge"/>
              <c:yMode val="edge"/>
              <c:x val="0.30377700168154198"/>
              <c:y val="2.2059614763800701E-2"/>
            </c:manualLayout>
          </c:layout>
          <c:overlay val="0"/>
          <c:spPr>
            <a:solidFill>
              <a:srgbClr val="F2F2F2"/>
            </a:solidFill>
            <a:ln w="0">
              <a:noFill/>
            </a:ln>
          </c:spPr>
        </c:title>
        <c:numFmt formatCode="0%" sourceLinked="0"/>
        <c:majorTickMark val="out"/>
        <c:minorTickMark val="none"/>
        <c:tickLblPos val="nextTo"/>
        <c:spPr>
          <a:ln w="6480">
            <a:solidFill>
              <a:srgbClr val="8B8B8B"/>
            </a:solidFill>
            <a:round/>
          </a:ln>
        </c:spPr>
        <c:txPr>
          <a:bodyPr/>
          <a:lstStyle/>
          <a:p>
            <a:pPr>
              <a:defRPr sz="1200" b="0" u="none" strike="noStrike">
                <a:solidFill>
                  <a:srgbClr val="000000"/>
                </a:solidFill>
                <a:uFillTx/>
                <a:latin typeface="Aptos"/>
              </a:defRPr>
            </a:pPr>
            <a:endParaRPr lang="en-US"/>
          </a:p>
        </c:txPr>
        <c:crossAx val="90778593"/>
        <c:crosses val="autoZero"/>
        <c:crossBetween val="between"/>
      </c:valAx>
      <c:spPr>
        <a:solidFill>
          <a:srgbClr val="FFFFFF"/>
        </a:solidFill>
        <a:ln w="0">
          <a:noFill/>
        </a:ln>
      </c:spPr>
    </c:plotArea>
    <c:plotVisOnly val="1"/>
    <c:dispBlanksAs val="gap"/>
    <c:showDLblsOverMax val="1"/>
  </c:chart>
  <c:spPr>
    <a:noFill/>
    <a:ln w="648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AU" sz="1600" b="0" u="none" strike="noStrike">
                <a:solidFill>
                  <a:srgbClr val="000000"/>
                </a:solidFill>
                <a:uFillTx/>
                <a:latin typeface="Montserrat"/>
              </a:rPr>
              <a:t>MARKET CAP EXPOSURE</a:t>
            </a:r>
          </a:p>
        </c:rich>
      </c:tx>
      <c:layout>
        <c:manualLayout>
          <c:xMode val="edge"/>
          <c:yMode val="edge"/>
          <c:x val="0.213027387120651"/>
          <c:y val="1.87188019966722E-2"/>
        </c:manualLayout>
      </c:layout>
      <c:overlay val="0"/>
      <c:spPr>
        <a:solidFill>
          <a:srgbClr val="F2F2F2"/>
        </a:solidFill>
        <a:ln w="0">
          <a:noFill/>
        </a:ln>
      </c:spPr>
    </c:title>
    <c:autoTitleDeleted val="0"/>
    <c:plotArea>
      <c:layout>
        <c:manualLayout>
          <c:layoutTarget val="inner"/>
          <c:xMode val="edge"/>
          <c:yMode val="edge"/>
          <c:x val="7.1724648408586195E-2"/>
          <c:y val="0.23304908485856901"/>
          <c:w val="0.44004441154700202"/>
          <c:h val="0.69197171381031597"/>
        </c:manualLayout>
      </c:layout>
      <c:doughnutChart>
        <c:varyColors val="1"/>
        <c:ser>
          <c:idx val="0"/>
          <c:order val="0"/>
          <c:spPr>
            <a:solidFill>
              <a:srgbClr val="7F5F52"/>
            </a:solidFill>
            <a:ln w="0">
              <a:solidFill>
                <a:srgbClr val="000000"/>
              </a:solidFill>
            </a:ln>
          </c:spPr>
          <c:dPt>
            <c:idx val="0"/>
            <c:bubble3D val="0"/>
            <c:spPr>
              <a:solidFill>
                <a:srgbClr val="C7BFBC"/>
              </a:solidFill>
              <a:ln w="0">
                <a:solidFill>
                  <a:srgbClr val="000000"/>
                </a:solidFill>
              </a:ln>
            </c:spPr>
            <c:extLst>
              <c:ext xmlns:c16="http://schemas.microsoft.com/office/drawing/2014/chart" uri="{C3380CC4-5D6E-409C-BE32-E72D297353CC}">
                <c16:uniqueId val="{00000001-F7AD-4846-8744-32EC3B90CB35}"/>
              </c:ext>
            </c:extLst>
          </c:dPt>
          <c:dPt>
            <c:idx val="1"/>
            <c:bubble3D val="0"/>
            <c:spPr>
              <a:solidFill>
                <a:srgbClr val="A89994"/>
              </a:solidFill>
              <a:ln w="0">
                <a:solidFill>
                  <a:srgbClr val="000000"/>
                </a:solidFill>
              </a:ln>
            </c:spPr>
            <c:extLst>
              <c:ext xmlns:c16="http://schemas.microsoft.com/office/drawing/2014/chart" uri="{C3380CC4-5D6E-409C-BE32-E72D297353CC}">
                <c16:uniqueId val="{00000003-F7AD-4846-8744-32EC3B90CB35}"/>
              </c:ext>
            </c:extLst>
          </c:dPt>
          <c:dPt>
            <c:idx val="2"/>
            <c:bubble3D val="0"/>
            <c:extLst>
              <c:ext xmlns:c16="http://schemas.microsoft.com/office/drawing/2014/chart" uri="{C3380CC4-5D6E-409C-BE32-E72D297353CC}">
                <c16:uniqueId val="{00000005-F7AD-4846-8744-32EC3B90CB35}"/>
              </c:ext>
            </c:extLst>
          </c:dPt>
          <c:dPt>
            <c:idx val="3"/>
            <c:bubble3D val="0"/>
            <c:spPr>
              <a:solidFill>
                <a:srgbClr val="705448"/>
              </a:solidFill>
              <a:ln w="0">
                <a:solidFill>
                  <a:srgbClr val="000000"/>
                </a:solidFill>
              </a:ln>
            </c:spPr>
            <c:extLst>
              <c:ext xmlns:c16="http://schemas.microsoft.com/office/drawing/2014/chart" uri="{C3380CC4-5D6E-409C-BE32-E72D297353CC}">
                <c16:uniqueId val="{00000007-F7AD-4846-8744-32EC3B90CB35}"/>
              </c:ext>
            </c:extLst>
          </c:dPt>
          <c:dPt>
            <c:idx val="4"/>
            <c:bubble3D val="0"/>
            <c:spPr>
              <a:solidFill>
                <a:srgbClr val="60483E"/>
              </a:solidFill>
              <a:ln w="0">
                <a:solidFill>
                  <a:srgbClr val="000000"/>
                </a:solidFill>
              </a:ln>
            </c:spPr>
            <c:extLst>
              <c:ext xmlns:c16="http://schemas.microsoft.com/office/drawing/2014/chart" uri="{C3380CC4-5D6E-409C-BE32-E72D297353CC}">
                <c16:uniqueId val="{00000009-F7AD-4846-8744-32EC3B90CB35}"/>
              </c:ext>
            </c:extLst>
          </c:dPt>
          <c:dLbls>
            <c:dLbl>
              <c:idx val="0"/>
              <c:spPr/>
              <c:txPr>
                <a:bodyPr wrap="square"/>
                <a:lstStyle/>
                <a:p>
                  <a:pPr>
                    <a:defRPr sz="1000" b="0" u="none" strike="noStrike">
                      <a:solidFill>
                        <a:srgbClr val="000000"/>
                      </a:solidFill>
                      <a:uFillTx/>
                      <a:latin typeface="Calibri"/>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AD-4846-8744-32EC3B90CB35}"/>
                </c:ext>
              </c:extLst>
            </c:dLbl>
            <c:dLbl>
              <c:idx val="1"/>
              <c:spPr/>
              <c:txPr>
                <a:bodyPr wrap="square"/>
                <a:lstStyle/>
                <a:p>
                  <a:pPr>
                    <a:defRPr sz="1000" b="0" u="none" strike="noStrike">
                      <a:solidFill>
                        <a:srgbClr val="000000"/>
                      </a:solidFill>
                      <a:uFillTx/>
                      <a:latin typeface="Calibri"/>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AD-4846-8744-32EC3B90CB35}"/>
                </c:ext>
              </c:extLst>
            </c:dLbl>
            <c:dLbl>
              <c:idx val="2"/>
              <c:spPr/>
              <c:txPr>
                <a:bodyPr wrap="square"/>
                <a:lstStyle/>
                <a:p>
                  <a:pPr>
                    <a:defRPr sz="1000" b="0" u="none" strike="noStrike">
                      <a:solidFill>
                        <a:srgbClr val="000000"/>
                      </a:solidFill>
                      <a:uFillTx/>
                      <a:latin typeface="Calibri"/>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AD-4846-8744-32EC3B90CB35}"/>
                </c:ext>
              </c:extLst>
            </c:dLbl>
            <c:dLbl>
              <c:idx val="3"/>
              <c:spPr/>
              <c:txPr>
                <a:bodyPr wrap="square"/>
                <a:lstStyle/>
                <a:p>
                  <a:pPr>
                    <a:defRPr sz="1000" b="0" u="none" strike="noStrike">
                      <a:solidFill>
                        <a:srgbClr val="000000"/>
                      </a:solidFill>
                      <a:uFillTx/>
                      <a:latin typeface="Calibri"/>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AD-4846-8744-32EC3B90CB35}"/>
                </c:ext>
              </c:extLst>
            </c:dLbl>
            <c:dLbl>
              <c:idx val="4"/>
              <c:spPr/>
              <c:txPr>
                <a:bodyPr wrap="square"/>
                <a:lstStyle/>
                <a:p>
                  <a:pPr>
                    <a:defRPr sz="1000" b="0" u="none" strike="noStrike">
                      <a:solidFill>
                        <a:srgbClr val="000000"/>
                      </a:solidFill>
                      <a:uFillTx/>
                      <a:latin typeface="Calibri"/>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AD-4846-8744-32EC3B90CB35}"/>
                </c:ext>
              </c:extLst>
            </c:dLbl>
            <c:spPr>
              <a:noFill/>
              <a:ln>
                <a:noFill/>
              </a:ln>
              <a:effectLst/>
            </c:spPr>
            <c:txPr>
              <a:bodyPr wrap="square"/>
              <a:lstStyle/>
              <a:p>
                <a:pPr>
                  <a:defRPr sz="1000" b="0" u="none" strike="noStrike">
                    <a:solidFill>
                      <a:srgbClr val="000000"/>
                    </a:solidFill>
                    <a:uFillTx/>
                    <a:latin typeface="Calibri"/>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Performancedata!$CA$27:$CA$31</c:f>
              <c:strCache>
                <c:ptCount val="5"/>
                <c:pt idx="0">
                  <c:v>&gt;$10b (84%)</c:v>
                </c:pt>
                <c:pt idx="1">
                  <c:v>$1b-$10b (11%)</c:v>
                </c:pt>
                <c:pt idx="2">
                  <c:v>$500m-$1b (0%)</c:v>
                </c:pt>
                <c:pt idx="3">
                  <c:v>$300m-$500m (0%)</c:v>
                </c:pt>
                <c:pt idx="4">
                  <c:v>&lt;$300m (5%)</c:v>
                </c:pt>
              </c:strCache>
            </c:strRef>
          </c:cat>
          <c:val>
            <c:numRef>
              <c:f>Performancedata!$CB$27:$CB$31</c:f>
              <c:numCache>
                <c:formatCode>[$-F800]dddd", "mmmm\ dd", "yyyy</c:formatCode>
                <c:ptCount val="5"/>
                <c:pt idx="0">
                  <c:v>0.84</c:v>
                </c:pt>
                <c:pt idx="1">
                  <c:v>0.11</c:v>
                </c:pt>
                <c:pt idx="2">
                  <c:v>0</c:v>
                </c:pt>
                <c:pt idx="3">
                  <c:v>0</c:v>
                </c:pt>
                <c:pt idx="4">
                  <c:v>0.05</c:v>
                </c:pt>
              </c:numCache>
            </c:numRef>
          </c:val>
          <c:extLst>
            <c:ext xmlns:c16="http://schemas.microsoft.com/office/drawing/2014/chart" uri="{C3380CC4-5D6E-409C-BE32-E72D297353CC}">
              <c16:uniqueId val="{0000000A-F7AD-4846-8744-32EC3B90CB35}"/>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layout>
        <c:manualLayout>
          <c:xMode val="edge"/>
          <c:yMode val="edge"/>
          <c:x val="0.52950607124002402"/>
          <c:y val="0.229830621519931"/>
          <c:w val="0.44792912099003102"/>
          <c:h val="0.63572046426744"/>
        </c:manualLayout>
      </c:layout>
      <c:overlay val="0"/>
      <c:spPr>
        <a:noFill/>
        <a:ln w="0">
          <a:noFill/>
        </a:ln>
      </c:spPr>
      <c:txPr>
        <a:bodyPr/>
        <a:lstStyle/>
        <a:p>
          <a:pPr>
            <a:defRPr lang="en-AU" sz="1400" b="0" u="none" strike="noStrike">
              <a:solidFill>
                <a:srgbClr val="000000"/>
              </a:solidFill>
              <a:uFillTx/>
              <a:latin typeface="HelveticaNeue LT 33 ThinEx"/>
            </a:defRPr>
          </a:pPr>
          <a:endParaRPr lang="en-US"/>
        </a:p>
      </c:txPr>
    </c:legend>
    <c:plotVisOnly val="1"/>
    <c:dispBlanksAs val="gap"/>
    <c:showDLblsOverMax val="1"/>
  </c:chart>
  <c:spPr>
    <a:noFill/>
    <a:ln w="648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image" Target="../media/image6.png"/><Relationship Id="rId12" Type="http://schemas.openxmlformats.org/officeDocument/2006/relationships/image" Target="../media/image11.wmf"/><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image" Target="../media/image10.wmf"/><Relationship Id="rId5" Type="http://schemas.openxmlformats.org/officeDocument/2006/relationships/chart" Target="../charts/chart2.xml"/><Relationship Id="rId10" Type="http://schemas.openxmlformats.org/officeDocument/2006/relationships/image" Target="../media/image9.png"/><Relationship Id="rId4" Type="http://schemas.openxmlformats.org/officeDocument/2006/relationships/image" Target="../media/image5.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19</xdr:col>
      <xdr:colOff>200160</xdr:colOff>
      <xdr:row>9</xdr:row>
      <xdr:rowOff>152280</xdr:rowOff>
    </xdr:from>
    <xdr:to>
      <xdr:col>41</xdr:col>
      <xdr:colOff>37080</xdr:colOff>
      <xdr:row>23</xdr:row>
      <xdr:rowOff>65880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690120" y="1780920"/>
          <a:ext cx="5369040" cy="2447280"/>
        </a:xfrm>
        <a:prstGeom prst="rect">
          <a:avLst/>
        </a:prstGeom>
        <a:noFill/>
        <a:ln w="0">
          <a:noFill/>
        </a:ln>
      </xdr:spPr>
    </xdr:pic>
    <xdr:clientData/>
  </xdr:twoCellAnchor>
  <xdr:twoCellAnchor editAs="oneCell">
    <xdr:from>
      <xdr:col>1</xdr:col>
      <xdr:colOff>228600</xdr:colOff>
      <xdr:row>11</xdr:row>
      <xdr:rowOff>95400</xdr:rowOff>
    </xdr:from>
    <xdr:to>
      <xdr:col>19</xdr:col>
      <xdr:colOff>17640</xdr:colOff>
      <xdr:row>23</xdr:row>
      <xdr:rowOff>94680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480240" y="2086200"/>
          <a:ext cx="9027360" cy="2170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54000</xdr:colOff>
      <xdr:row>17</xdr:row>
      <xdr:rowOff>423720</xdr:rowOff>
    </xdr:from>
    <xdr:to>
      <xdr:col>14</xdr:col>
      <xdr:colOff>421919</xdr:colOff>
      <xdr:row>38</xdr:row>
      <xdr:rowOff>95040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536760</xdr:colOff>
      <xdr:row>60</xdr:row>
      <xdr:rowOff>134640</xdr:rowOff>
    </xdr:from>
    <xdr:to>
      <xdr:col>50</xdr:col>
      <xdr:colOff>7200</xdr:colOff>
      <xdr:row>110</xdr:row>
      <xdr:rowOff>194400</xdr:rowOff>
    </xdr:to>
    <xdr:sp macro="" textlink="">
      <xdr:nvSpPr>
        <xdr:cNvPr id="3" name="TextBox 4">
          <a:extLst>
            <a:ext uri="{FF2B5EF4-FFF2-40B4-BE49-F238E27FC236}">
              <a16:creationId xmlns:a16="http://schemas.microsoft.com/office/drawing/2014/main" id="{00000000-0008-0000-0100-000003000000}"/>
            </a:ext>
          </a:extLst>
        </xdr:cNvPr>
        <xdr:cNvSpPr/>
      </xdr:nvSpPr>
      <xdr:spPr>
        <a:xfrm>
          <a:off x="24699960" y="13395240"/>
          <a:ext cx="7924680" cy="9236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defTabSz="457200">
            <a:lnSpc>
              <a:spcPct val="150000"/>
            </a:lnSpc>
          </a:pPr>
          <a:r>
            <a:rPr lang="en-AU" sz="1500" b="1" u="none" strike="noStrike">
              <a:solidFill>
                <a:srgbClr val="000000"/>
              </a:solidFill>
              <a:effectLst/>
              <a:uFillTx/>
              <a:latin typeface="Aptos"/>
            </a:rPr>
            <a:t>Companies </a:t>
          </a:r>
          <a:endParaRPr lang="en-IN" sz="1500" b="0" u="none" strike="noStrike">
            <a:effectLst/>
            <a:uFillTx/>
            <a:latin typeface="Times New Roman"/>
          </a:endParaRPr>
        </a:p>
        <a:p>
          <a:pPr defTabSz="457200">
            <a:lnSpc>
              <a:spcPct val="100000"/>
            </a:lnSpc>
          </a:pPr>
          <a:r>
            <a:rPr lang="en-AU" sz="1050" b="1" u="none" strike="noStrike">
              <a:solidFill>
                <a:schemeClr val="dk1"/>
              </a:solidFill>
              <a:effectLst/>
              <a:uFillTx/>
              <a:latin typeface="Calibri"/>
            </a:rPr>
            <a:t>Alphabet (Google, GOOGL)</a:t>
          </a:r>
          <a:endParaRPr lang="en-IN" sz="1050" b="0" u="none" strike="noStrike">
            <a:effectLst/>
            <a:uFillTx/>
            <a:latin typeface="Times New Roman"/>
          </a:endParaRPr>
        </a:p>
        <a:p>
          <a:pPr defTabSz="457200">
            <a:lnSpc>
              <a:spcPct val="100000"/>
            </a:lnSpc>
          </a:pPr>
          <a:r>
            <a:rPr lang="en-AU" sz="1050" b="1" u="none" strike="noStrike">
              <a:solidFill>
                <a:schemeClr val="dk1"/>
              </a:solidFill>
              <a:effectLst/>
              <a:uFillTx/>
              <a:latin typeface="Calibri"/>
            </a:rPr>
            <a:t>Market Cap</a:t>
          </a:r>
          <a:r>
            <a:rPr lang="en-AU" sz="1050" b="0" u="none" strike="noStrike">
              <a:solidFill>
                <a:schemeClr val="dk1"/>
              </a:solidFill>
              <a:effectLst/>
              <a:uFillTx/>
              <a:latin typeface="Calibri"/>
            </a:rPr>
            <a:t>: ~US$2.5 trn | </a:t>
          </a:r>
          <a:r>
            <a:rPr lang="en-AU" sz="1050" b="1" u="none" strike="noStrike">
              <a:solidFill>
                <a:schemeClr val="dk1"/>
              </a:solidFill>
              <a:effectLst/>
              <a:uFillTx/>
              <a:latin typeface="Calibri"/>
            </a:rPr>
            <a:t>EV</a:t>
          </a:r>
          <a:r>
            <a:rPr lang="en-AU" sz="1050" b="0" u="none" strike="noStrike">
              <a:solidFill>
                <a:schemeClr val="dk1"/>
              </a:solidFill>
              <a:effectLst/>
              <a:uFillTx/>
              <a:latin typeface="Calibri"/>
            </a:rPr>
            <a:t>: US$2.1 trn | </a:t>
          </a:r>
          <a:r>
            <a:rPr lang="en-AU" sz="1050" b="1" u="none" strike="noStrike">
              <a:solidFill>
                <a:schemeClr val="dk1"/>
              </a:solidFill>
              <a:effectLst/>
              <a:uFillTx/>
              <a:latin typeface="Calibri"/>
            </a:rPr>
            <a:t>Forward EPS Growth</a:t>
          </a:r>
          <a:r>
            <a:rPr lang="en-AU" sz="1050" b="0" u="none" strike="noStrike">
              <a:solidFill>
                <a:schemeClr val="dk1"/>
              </a:solidFill>
              <a:effectLst/>
              <a:uFillTx/>
              <a:latin typeface="Calibri"/>
            </a:rPr>
            <a:t>: ~14% | </a:t>
          </a:r>
          <a:r>
            <a:rPr lang="en-AU" sz="1050" b="1" u="none" strike="noStrike">
              <a:solidFill>
                <a:schemeClr val="dk1"/>
              </a:solidFill>
              <a:effectLst/>
              <a:uFillTx/>
              <a:latin typeface="Calibri"/>
            </a:rPr>
            <a:t>Forward P/E</a:t>
          </a:r>
          <a:r>
            <a:rPr lang="en-AU" sz="1050" b="0" u="none" strike="noStrike">
              <a:solidFill>
                <a:schemeClr val="dk1"/>
              </a:solidFill>
              <a:effectLst/>
              <a:uFillTx/>
              <a:latin typeface="Calibri"/>
            </a:rPr>
            <a:t>: ~20×</a:t>
          </a:r>
          <a:endParaRPr lang="en-IN" sz="1050" b="0" u="none" strike="noStrike">
            <a:effectLst/>
            <a:uFillTx/>
            <a:latin typeface="Times New Roman"/>
          </a:endParaRPr>
        </a:p>
        <a:p>
          <a:pPr defTabSz="457200">
            <a:lnSpc>
              <a:spcPct val="100000"/>
            </a:lnSpc>
          </a:pPr>
          <a:r>
            <a:rPr lang="en-AU" sz="1050" b="1" u="none" strike="noStrike">
              <a:solidFill>
                <a:schemeClr val="dk1"/>
              </a:solidFill>
              <a:effectLst/>
              <a:uFillTx/>
              <a:latin typeface="Calibri"/>
            </a:rPr>
            <a:t>What it does</a:t>
          </a:r>
          <a:br/>
          <a:r>
            <a:rPr lang="en-AU" sz="1050" b="0" u="none" strike="noStrike">
              <a:solidFill>
                <a:schemeClr val="dk1"/>
              </a:solidFill>
              <a:effectLst/>
              <a:uFillTx/>
              <a:latin typeface="Calibri"/>
            </a:rPr>
            <a:t>Alphabet is a global tech leader and the clear frontrunner in AI innovation. Google has integrated advanced generative AI into Search, Gemini, YouTube, Maps, and Cloud, while also pushing the frontier with projects in autonomous driving and algorithmic discovery.</a:t>
          </a:r>
          <a:endParaRPr lang="en-IN" sz="1050" b="0" u="none" strike="noStrike">
            <a:effectLst/>
            <a:uFillTx/>
            <a:latin typeface="Times New Roman"/>
          </a:endParaRPr>
        </a:p>
        <a:p>
          <a:pPr defTabSz="457200">
            <a:lnSpc>
              <a:spcPct val="100000"/>
            </a:lnSpc>
          </a:pPr>
          <a:r>
            <a:rPr lang="en-AU" sz="1050" b="1" u="none" strike="noStrike">
              <a:solidFill>
                <a:schemeClr val="dk1"/>
              </a:solidFill>
              <a:effectLst/>
              <a:uFillTx/>
              <a:latin typeface="Calibri"/>
            </a:rPr>
            <a:t>Investment case</a:t>
          </a:r>
          <a:br/>
          <a:r>
            <a:rPr lang="en-AU" sz="1050" b="0" u="none" strike="noStrike">
              <a:solidFill>
                <a:schemeClr val="dk1"/>
              </a:solidFill>
              <a:effectLst/>
              <a:uFillTx/>
              <a:latin typeface="Calibri"/>
            </a:rPr>
            <a:t>AI is now the growth engine alongside its core advertising business. Cloud deals and AI-driven engagement are accelerating revenue. Its forward multiple is well below other megacaps, leaving room for re-rating. Risks include regulatory pressure and AI competition, but the investment case rests on its scale and leadership in the next computing wave.</a:t>
          </a:r>
          <a:endParaRPr lang="en-IN" sz="1050" b="0" u="none" strike="noStrike">
            <a:effectLst/>
            <a:uFillTx/>
            <a:latin typeface="Times New Roman"/>
          </a:endParaRPr>
        </a:p>
        <a:p>
          <a:pPr defTabSz="457200">
            <a:lnSpc>
              <a:spcPct val="100000"/>
            </a:lnSpc>
          </a:pPr>
          <a:endParaRPr lang="en-IN" sz="1050" b="0" u="none" strike="noStrike">
            <a:effectLst/>
            <a:uFillTx/>
            <a:latin typeface="Times New Roman"/>
          </a:endParaRPr>
        </a:p>
        <a:p>
          <a:pPr defTabSz="914400">
            <a:lnSpc>
              <a:spcPct val="100000"/>
            </a:lnSpc>
            <a:tabLst>
              <a:tab pos="0" algn="l"/>
            </a:tabLst>
          </a:pPr>
          <a:r>
            <a:rPr lang="en-AU" sz="1050" b="1" u="none" strike="noStrike">
              <a:solidFill>
                <a:srgbClr val="000000"/>
              </a:solidFill>
              <a:effectLst/>
              <a:uFillTx/>
              <a:latin typeface="Calibri"/>
            </a:rPr>
            <a:t>AMD (Advanced Micro Devices, AMD)</a:t>
          </a:r>
          <a:endParaRPr lang="en-IN" sz="1050" b="0" u="none" strike="noStrike">
            <a:effectLst/>
            <a:uFillTx/>
            <a:latin typeface="Times New Roman"/>
          </a:endParaRPr>
        </a:p>
        <a:p>
          <a:pPr defTabSz="914400">
            <a:lnSpc>
              <a:spcPct val="100000"/>
            </a:lnSpc>
            <a:tabLst>
              <a:tab pos="0" algn="l"/>
            </a:tabLst>
          </a:pPr>
          <a:r>
            <a:rPr lang="en-AU" sz="1050" b="1" u="none" strike="noStrike">
              <a:solidFill>
                <a:srgbClr val="000000"/>
              </a:solidFill>
              <a:effectLst/>
              <a:uFillTx/>
              <a:latin typeface="Calibri"/>
            </a:rPr>
            <a:t>Market Cap</a:t>
          </a:r>
          <a:r>
            <a:rPr lang="en-AU" sz="1050" b="0" u="none" strike="noStrike">
              <a:solidFill>
                <a:srgbClr val="000000"/>
              </a:solidFill>
              <a:effectLst/>
              <a:uFillTx/>
              <a:latin typeface="Calibri"/>
            </a:rPr>
            <a:t>: ~US$260 b | </a:t>
          </a:r>
          <a:r>
            <a:rPr lang="en-AU" sz="1050" b="1" u="none" strike="noStrike">
              <a:solidFill>
                <a:srgbClr val="000000"/>
              </a:solidFill>
              <a:effectLst/>
              <a:uFillTx/>
              <a:latin typeface="Calibri"/>
            </a:rPr>
            <a:t>EV</a:t>
          </a:r>
          <a:r>
            <a:rPr lang="en-AU" sz="1050" b="0" u="none" strike="noStrike">
              <a:solidFill>
                <a:srgbClr val="000000"/>
              </a:solidFill>
              <a:effectLst/>
              <a:uFillTx/>
              <a:latin typeface="Calibri"/>
            </a:rPr>
            <a:t>: ~US$255 b | </a:t>
          </a:r>
          <a:r>
            <a:rPr lang="en-AU" sz="1050" b="1" u="none" strike="noStrike">
              <a:solidFill>
                <a:srgbClr val="000000"/>
              </a:solidFill>
              <a:effectLst/>
              <a:uFillTx/>
              <a:latin typeface="Calibri"/>
            </a:rPr>
            <a:t>Forward EPS Growth</a:t>
          </a:r>
          <a:r>
            <a:rPr lang="en-AU" sz="1050" b="0" u="none" strike="noStrike">
              <a:solidFill>
                <a:srgbClr val="000000"/>
              </a:solidFill>
              <a:effectLst/>
              <a:uFillTx/>
              <a:latin typeface="Calibri"/>
            </a:rPr>
            <a:t>: ~20% | </a:t>
          </a:r>
          <a:r>
            <a:rPr lang="en-AU" sz="1050" b="1" u="none" strike="noStrike">
              <a:solidFill>
                <a:srgbClr val="000000"/>
              </a:solidFill>
              <a:effectLst/>
              <a:uFillTx/>
              <a:latin typeface="Calibri"/>
            </a:rPr>
            <a:t>Forward P/E</a:t>
          </a:r>
          <a:r>
            <a:rPr lang="en-AU" sz="1050" b="0" u="none" strike="noStrike">
              <a:solidFill>
                <a:srgbClr val="000000"/>
              </a:solidFill>
              <a:effectLst/>
              <a:uFillTx/>
              <a:latin typeface="Calibri"/>
            </a:rPr>
            <a:t>: ~38×</a:t>
          </a:r>
          <a:endParaRPr lang="en-IN" sz="1050" b="0" u="none" strike="noStrike">
            <a:effectLst/>
            <a:uFillTx/>
            <a:latin typeface="Times New Roman"/>
          </a:endParaRPr>
        </a:p>
        <a:p>
          <a:pPr defTabSz="914400">
            <a:lnSpc>
              <a:spcPct val="100000"/>
            </a:lnSpc>
            <a:tabLst>
              <a:tab pos="0" algn="l"/>
            </a:tabLst>
          </a:pPr>
          <a:r>
            <a:rPr lang="en-AU" sz="1050" b="1" u="none" strike="noStrike">
              <a:solidFill>
                <a:srgbClr val="000000"/>
              </a:solidFill>
              <a:effectLst/>
              <a:uFillTx/>
              <a:latin typeface="Calibri"/>
            </a:rPr>
            <a:t>What it does</a:t>
          </a:r>
          <a:br/>
          <a:r>
            <a:rPr lang="en-AU" sz="1050" b="0" u="none" strike="noStrike">
              <a:solidFill>
                <a:srgbClr val="000000"/>
              </a:solidFill>
              <a:effectLst/>
              <a:uFillTx/>
              <a:latin typeface="Calibri"/>
            </a:rPr>
            <a:t>Designs CPUs, GPUs, and data centre chips, competing with Intel in processors and Nvidia in AI accelerators.</a:t>
          </a:r>
          <a:endParaRPr lang="en-IN" sz="1050" b="0" u="none" strike="noStrike">
            <a:effectLst/>
            <a:uFillTx/>
            <a:latin typeface="Times New Roman"/>
          </a:endParaRPr>
        </a:p>
        <a:p>
          <a:pPr defTabSz="914400">
            <a:lnSpc>
              <a:spcPct val="100000"/>
            </a:lnSpc>
            <a:tabLst>
              <a:tab pos="0" algn="l"/>
            </a:tabLst>
          </a:pPr>
          <a:r>
            <a:rPr lang="en-AU" sz="1050" b="1" u="none" strike="noStrike">
              <a:solidFill>
                <a:srgbClr val="000000"/>
              </a:solidFill>
              <a:effectLst/>
              <a:uFillTx/>
              <a:latin typeface="Calibri"/>
            </a:rPr>
            <a:t>Investment case</a:t>
          </a:r>
          <a:br/>
          <a:r>
            <a:rPr lang="en-AU" sz="1050" b="0" u="none" strike="noStrike">
              <a:solidFill>
                <a:srgbClr val="000000"/>
              </a:solidFill>
              <a:effectLst/>
              <a:uFillTx/>
              <a:latin typeface="Calibri"/>
            </a:rPr>
            <a:t>Key beneficiary of AI and cloud adoption, with market share gains across data centre and PCs. Premium valuation reflects strong positioning, but risks include cyclicality and Nvidia’s entrenched GPU dominance.</a:t>
          </a:r>
          <a:endParaRPr lang="en-IN" sz="1050" b="0" u="none" strike="noStrike">
            <a:effectLst/>
            <a:uFillTx/>
            <a:latin typeface="Times New Roman"/>
          </a:endParaRPr>
        </a:p>
        <a:p>
          <a:pPr defTabSz="457200">
            <a:lnSpc>
              <a:spcPct val="100000"/>
            </a:lnSpc>
            <a:tabLst>
              <a:tab pos="0" algn="l"/>
            </a:tabLst>
          </a:pP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Reddit (RDDT)</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Market Cap</a:t>
          </a:r>
          <a:r>
            <a:rPr lang="en-AU" sz="1050" b="0" u="none" strike="noStrike">
              <a:solidFill>
                <a:schemeClr val="dk1"/>
              </a:solidFill>
              <a:effectLst/>
              <a:uFillTx/>
              <a:latin typeface="Calibri"/>
            </a:rPr>
            <a:t>: ~US$46 b | </a:t>
          </a:r>
          <a:r>
            <a:rPr lang="en-AU" sz="1050" b="1" u="none" strike="noStrike">
              <a:solidFill>
                <a:schemeClr val="dk1"/>
              </a:solidFill>
              <a:effectLst/>
              <a:uFillTx/>
              <a:latin typeface="Calibri"/>
            </a:rPr>
            <a:t>EV</a:t>
          </a:r>
          <a:r>
            <a:rPr lang="en-AU" sz="1050" b="0" u="none" strike="noStrike">
              <a:solidFill>
                <a:schemeClr val="dk1"/>
              </a:solidFill>
              <a:effectLst/>
              <a:uFillTx/>
              <a:latin typeface="Calibri"/>
            </a:rPr>
            <a:t>: ~US$44 b | </a:t>
          </a:r>
          <a:r>
            <a:rPr lang="en-AU" sz="1050" b="1" u="none" strike="noStrike">
              <a:solidFill>
                <a:schemeClr val="dk1"/>
              </a:solidFill>
              <a:effectLst/>
              <a:uFillTx/>
              <a:latin typeface="Calibri"/>
            </a:rPr>
            <a:t>Forward EPS Growth</a:t>
          </a:r>
          <a:r>
            <a:rPr lang="en-AU" sz="1050" b="0" u="none" strike="noStrike">
              <a:solidFill>
                <a:schemeClr val="dk1"/>
              </a:solidFill>
              <a:effectLst/>
              <a:uFillTx/>
              <a:latin typeface="Calibri"/>
            </a:rPr>
            <a:t>: ~34% | </a:t>
          </a:r>
          <a:r>
            <a:rPr lang="en-AU" sz="1050" b="1" u="none" strike="noStrike">
              <a:solidFill>
                <a:schemeClr val="dk1"/>
              </a:solidFill>
              <a:effectLst/>
              <a:uFillTx/>
              <a:latin typeface="Calibri"/>
            </a:rPr>
            <a:t>Forward P/E</a:t>
          </a:r>
          <a:r>
            <a:rPr lang="en-AU" sz="1050" b="0" u="none" strike="noStrike">
              <a:solidFill>
                <a:schemeClr val="dk1"/>
              </a:solidFill>
              <a:effectLst/>
              <a:uFillTx/>
              <a:latin typeface="Calibri"/>
            </a:rPr>
            <a:t>: &gt;100×</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What it does</a:t>
          </a:r>
          <a:br/>
          <a:r>
            <a:rPr lang="en-AU" sz="1050" b="0" u="none" strike="noStrike">
              <a:solidFill>
                <a:schemeClr val="dk1"/>
              </a:solidFill>
              <a:effectLst/>
              <a:uFillTx/>
              <a:latin typeface="Calibri"/>
            </a:rPr>
            <a:t>Reddit is a community-based social platform monetising through ads, premium subscriptions, and data licensing.</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Investment case</a:t>
          </a:r>
          <a:br/>
          <a:r>
            <a:rPr lang="en-AU" sz="1050" b="0" u="none" strike="noStrike">
              <a:solidFill>
                <a:schemeClr val="dk1"/>
              </a:solidFill>
              <a:effectLst/>
              <a:uFillTx/>
              <a:latin typeface="Calibri"/>
            </a:rPr>
            <a:t>The most recent quarter was its most impressive to date: revenue up 78%, ad revenue up 84%, and a swing to profitability with strong free cash flow. User engagement is growing and its push into AI-powered search opens a new monetisation path. Valuation remains demanding, but earnings momentum and scale are shifting in its favour.</a:t>
          </a:r>
          <a:endParaRPr lang="en-IN" sz="1050" b="0" u="none" strike="noStrike">
            <a:effectLst/>
            <a:uFillTx/>
            <a:latin typeface="Times New Roman"/>
          </a:endParaRPr>
        </a:p>
        <a:p>
          <a:pPr defTabSz="457200">
            <a:lnSpc>
              <a:spcPct val="100000"/>
            </a:lnSpc>
            <a:tabLst>
              <a:tab pos="0" algn="l"/>
            </a:tabLst>
          </a:pP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Uber (UBER)</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Market Cap</a:t>
          </a:r>
          <a:r>
            <a:rPr lang="en-AU" sz="1050" b="0" u="none" strike="noStrike">
              <a:solidFill>
                <a:schemeClr val="dk1"/>
              </a:solidFill>
              <a:effectLst/>
              <a:uFillTx/>
              <a:latin typeface="Calibri"/>
            </a:rPr>
            <a:t>: ~US$190 b | </a:t>
          </a:r>
          <a:r>
            <a:rPr lang="en-AU" sz="1050" b="1" u="none" strike="noStrike">
              <a:solidFill>
                <a:schemeClr val="dk1"/>
              </a:solidFill>
              <a:effectLst/>
              <a:uFillTx/>
              <a:latin typeface="Calibri"/>
            </a:rPr>
            <a:t>EV</a:t>
          </a:r>
          <a:r>
            <a:rPr lang="en-AU" sz="1050" b="0" u="none" strike="noStrike">
              <a:solidFill>
                <a:schemeClr val="dk1"/>
              </a:solidFill>
              <a:effectLst/>
              <a:uFillTx/>
              <a:latin typeface="Calibri"/>
            </a:rPr>
            <a:t>: ~US$185 b | </a:t>
          </a:r>
          <a:r>
            <a:rPr lang="en-AU" sz="1050" b="1" u="none" strike="noStrike">
              <a:solidFill>
                <a:schemeClr val="dk1"/>
              </a:solidFill>
              <a:effectLst/>
              <a:uFillTx/>
              <a:latin typeface="Calibri"/>
            </a:rPr>
            <a:t>Forward EPS Growth</a:t>
          </a:r>
          <a:r>
            <a:rPr lang="en-AU" sz="1050" b="0" u="none" strike="noStrike">
              <a:solidFill>
                <a:schemeClr val="dk1"/>
              </a:solidFill>
              <a:effectLst/>
              <a:uFillTx/>
              <a:latin typeface="Calibri"/>
            </a:rPr>
            <a:t>: ~30% | </a:t>
          </a:r>
          <a:r>
            <a:rPr lang="en-AU" sz="1050" b="1" u="none" strike="noStrike">
              <a:solidFill>
                <a:schemeClr val="dk1"/>
              </a:solidFill>
              <a:effectLst/>
              <a:uFillTx/>
              <a:latin typeface="Calibri"/>
            </a:rPr>
            <a:t>Forward P/E</a:t>
          </a:r>
          <a:r>
            <a:rPr lang="en-AU" sz="1050" b="0" u="none" strike="noStrike">
              <a:solidFill>
                <a:schemeClr val="dk1"/>
              </a:solidFill>
              <a:effectLst/>
              <a:uFillTx/>
              <a:latin typeface="Calibri"/>
            </a:rPr>
            <a:t>: ~35×</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What it does</a:t>
          </a:r>
          <a:br/>
          <a:r>
            <a:rPr lang="en-AU" sz="1050" b="0" u="none" strike="noStrike">
              <a:solidFill>
                <a:schemeClr val="dk1"/>
              </a:solidFill>
              <a:effectLst/>
              <a:uFillTx/>
              <a:latin typeface="Calibri"/>
            </a:rPr>
            <a:t>Uber runs global ride-hailing, delivery, and logistics networks.</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Investment case</a:t>
          </a:r>
          <a:br/>
          <a:r>
            <a:rPr lang="en-AU" sz="1050" b="0" u="none" strike="noStrike">
              <a:solidFill>
                <a:schemeClr val="dk1"/>
              </a:solidFill>
              <a:effectLst/>
              <a:uFillTx/>
              <a:latin typeface="Calibri"/>
            </a:rPr>
            <a:t>It is often priced as if autonomous vehicles will disrupt its model, but more likely Uber becomes the platform for those vehicles to operate on. That keeps it central to the ecosystem, with upside from scale, data, and integration of self-driving tech. Risks are regulatory changes and competitive intensity.</a:t>
          </a:r>
          <a:endParaRPr lang="en-IN" sz="1050" b="0" u="none" strike="noStrike">
            <a:effectLst/>
            <a:uFillTx/>
            <a:latin typeface="Times New Roman"/>
          </a:endParaRPr>
        </a:p>
        <a:p>
          <a:pPr defTabSz="457200">
            <a:lnSpc>
              <a:spcPct val="100000"/>
            </a:lnSpc>
            <a:tabLst>
              <a:tab pos="0" algn="l"/>
            </a:tabLst>
          </a:pP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Ramelius Resources (ASX: RMS)</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Market Cap</a:t>
          </a:r>
          <a:r>
            <a:rPr lang="en-AU" sz="1050" b="0" u="none" strike="noStrike">
              <a:solidFill>
                <a:schemeClr val="dk1"/>
              </a:solidFill>
              <a:effectLst/>
              <a:uFillTx/>
              <a:latin typeface="Calibri"/>
            </a:rPr>
            <a:t>: ~A$2.5 b | </a:t>
          </a:r>
          <a:r>
            <a:rPr lang="en-AU" sz="1050" b="1" u="none" strike="noStrike">
              <a:solidFill>
                <a:schemeClr val="dk1"/>
              </a:solidFill>
              <a:effectLst/>
              <a:uFillTx/>
              <a:latin typeface="Calibri"/>
            </a:rPr>
            <a:t>EV</a:t>
          </a:r>
          <a:r>
            <a:rPr lang="en-AU" sz="1050" b="0" u="none" strike="noStrike">
              <a:solidFill>
                <a:schemeClr val="dk1"/>
              </a:solidFill>
              <a:effectLst/>
              <a:uFillTx/>
              <a:latin typeface="Calibri"/>
            </a:rPr>
            <a:t>: ~A$2.3 b | </a:t>
          </a:r>
          <a:r>
            <a:rPr lang="en-AU" sz="1050" b="1" u="none" strike="noStrike">
              <a:solidFill>
                <a:schemeClr val="dk1"/>
              </a:solidFill>
              <a:effectLst/>
              <a:uFillTx/>
              <a:latin typeface="Calibri"/>
            </a:rPr>
            <a:t>Forward EPS Growth</a:t>
          </a:r>
          <a:r>
            <a:rPr lang="en-AU" sz="1050" b="0" u="none" strike="noStrike">
              <a:solidFill>
                <a:schemeClr val="dk1"/>
              </a:solidFill>
              <a:effectLst/>
              <a:uFillTx/>
              <a:latin typeface="Calibri"/>
            </a:rPr>
            <a:t>: ~15% | </a:t>
          </a:r>
          <a:r>
            <a:rPr lang="en-AU" sz="1050" b="1" u="none" strike="noStrike">
              <a:solidFill>
                <a:schemeClr val="dk1"/>
              </a:solidFill>
              <a:effectLst/>
              <a:uFillTx/>
              <a:latin typeface="Calibri"/>
            </a:rPr>
            <a:t>Forward P/E</a:t>
          </a:r>
          <a:r>
            <a:rPr lang="en-AU" sz="1050" b="0" u="none" strike="noStrike">
              <a:solidFill>
                <a:schemeClr val="dk1"/>
              </a:solidFill>
              <a:effectLst/>
              <a:uFillTx/>
              <a:latin typeface="Calibri"/>
            </a:rPr>
            <a:t>: ~11×</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What it does</a:t>
          </a:r>
          <a:br/>
          <a:r>
            <a:rPr lang="en-AU" sz="1050" b="0" u="none" strike="noStrike">
              <a:solidFill>
                <a:schemeClr val="dk1"/>
              </a:solidFill>
              <a:effectLst/>
              <a:uFillTx/>
              <a:latin typeface="Calibri"/>
            </a:rPr>
            <a:t>Ramelius is a mid-tier Australian gold miner with operations in Western Australia.</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Investment case</a:t>
          </a:r>
          <a:br/>
          <a:r>
            <a:rPr lang="en-AU" sz="1050" b="0" u="none" strike="noStrike">
              <a:solidFill>
                <a:schemeClr val="dk1"/>
              </a:solidFill>
              <a:effectLst/>
              <a:uFillTx/>
              <a:latin typeface="Calibri"/>
            </a:rPr>
            <a:t>High gold price leverage and solid balance sheet. Low forward P/E vs peers makes it a value play. Risks include cost inflation and resource depletion.</a:t>
          </a:r>
          <a:endParaRPr lang="en-IN" sz="1050" b="0" u="none" strike="noStrike">
            <a:effectLst/>
            <a:uFillTx/>
            <a:latin typeface="Times New Roman"/>
          </a:endParaRPr>
        </a:p>
        <a:p>
          <a:pPr defTabSz="457200">
            <a:lnSpc>
              <a:spcPct val="100000"/>
            </a:lnSpc>
            <a:tabLst>
              <a:tab pos="0" algn="l"/>
            </a:tabLst>
          </a:pP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Tempus AI (TEM)</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Market Cap</a:t>
          </a:r>
          <a:r>
            <a:rPr lang="en-AU" sz="1050" b="0" u="none" strike="noStrike">
              <a:solidFill>
                <a:schemeClr val="dk1"/>
              </a:solidFill>
              <a:effectLst/>
              <a:uFillTx/>
              <a:latin typeface="Calibri"/>
            </a:rPr>
            <a:t>: ~US$6 b | </a:t>
          </a:r>
          <a:r>
            <a:rPr lang="en-AU" sz="1050" b="1" u="none" strike="noStrike">
              <a:solidFill>
                <a:schemeClr val="dk1"/>
              </a:solidFill>
              <a:effectLst/>
              <a:uFillTx/>
              <a:latin typeface="Calibri"/>
            </a:rPr>
            <a:t>EV</a:t>
          </a:r>
          <a:r>
            <a:rPr lang="en-AU" sz="1050" b="0" u="none" strike="noStrike">
              <a:solidFill>
                <a:schemeClr val="dk1"/>
              </a:solidFill>
              <a:effectLst/>
              <a:uFillTx/>
              <a:latin typeface="Calibri"/>
            </a:rPr>
            <a:t>: ~US$5.5 b | </a:t>
          </a:r>
          <a:r>
            <a:rPr lang="en-AU" sz="1050" b="1" u="none" strike="noStrike">
              <a:solidFill>
                <a:schemeClr val="dk1"/>
              </a:solidFill>
              <a:effectLst/>
              <a:uFillTx/>
              <a:latin typeface="Calibri"/>
            </a:rPr>
            <a:t>Forward EPS Growth</a:t>
          </a:r>
          <a:r>
            <a:rPr lang="en-AU" sz="1050" b="0" u="none" strike="noStrike">
              <a:solidFill>
                <a:schemeClr val="dk1"/>
              </a:solidFill>
              <a:effectLst/>
              <a:uFillTx/>
              <a:latin typeface="Calibri"/>
            </a:rPr>
            <a:t>: N/A | </a:t>
          </a:r>
          <a:r>
            <a:rPr lang="en-AU" sz="1050" b="1" u="none" strike="noStrike">
              <a:solidFill>
                <a:schemeClr val="dk1"/>
              </a:solidFill>
              <a:effectLst/>
              <a:uFillTx/>
              <a:latin typeface="Calibri"/>
            </a:rPr>
            <a:t>Forward P/E</a:t>
          </a:r>
          <a:r>
            <a:rPr lang="en-AU" sz="1050" b="0" u="none" strike="noStrike">
              <a:solidFill>
                <a:schemeClr val="dk1"/>
              </a:solidFill>
              <a:effectLst/>
              <a:uFillTx/>
              <a:latin typeface="Calibri"/>
            </a:rPr>
            <a:t>: N/A</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What it does</a:t>
          </a:r>
          <a:br/>
          <a:r>
            <a:rPr lang="en-AU" sz="1050" b="0" u="none" strike="noStrike">
              <a:solidFill>
                <a:schemeClr val="dk1"/>
              </a:solidFill>
              <a:effectLst/>
              <a:uFillTx/>
              <a:latin typeface="Calibri"/>
            </a:rPr>
            <a:t>Tempus develops AI-driven diagnostics and precision medicine tools using large datasets in oncology and other medical fields.</a:t>
          </a:r>
          <a:endParaRPr lang="en-IN" sz="1050" b="0" u="none" strike="noStrike">
            <a:effectLst/>
            <a:uFillTx/>
            <a:latin typeface="Times New Roman"/>
          </a:endParaRPr>
        </a:p>
        <a:p>
          <a:pPr defTabSz="457200">
            <a:lnSpc>
              <a:spcPct val="100000"/>
            </a:lnSpc>
            <a:tabLst>
              <a:tab pos="0" algn="l"/>
            </a:tabLst>
          </a:pPr>
          <a:r>
            <a:rPr lang="en-AU" sz="1050" b="1" u="none" strike="noStrike">
              <a:solidFill>
                <a:schemeClr val="dk1"/>
              </a:solidFill>
              <a:effectLst/>
              <a:uFillTx/>
              <a:latin typeface="Calibri"/>
            </a:rPr>
            <a:t>Investment case</a:t>
          </a:r>
          <a:br/>
          <a:r>
            <a:rPr lang="en-AU" sz="1050" b="0" u="none" strike="noStrike">
              <a:solidFill>
                <a:schemeClr val="dk1"/>
              </a:solidFill>
              <a:effectLst/>
              <a:uFillTx/>
              <a:latin typeface="Calibri"/>
            </a:rPr>
            <a:t>Large TAM in healthcare AI, strong growth trajectory, and partnerships with major pharma. Risks: unproven profitability and heavy competition in healthtech.</a:t>
          </a:r>
          <a:endParaRPr lang="en-IN" sz="1050" b="0" u="none" strike="noStrike">
            <a:effectLst/>
            <a:uFillTx/>
            <a:latin typeface="Times New Roman"/>
          </a:endParaRPr>
        </a:p>
        <a:p>
          <a:pPr defTabSz="457200">
            <a:lnSpc>
              <a:spcPct val="100000"/>
            </a:lnSpc>
            <a:tabLst>
              <a:tab pos="0" algn="l"/>
            </a:tabLst>
          </a:pPr>
          <a:endParaRPr lang="en-IN" sz="1050" b="0" u="none" strike="noStrike">
            <a:effectLst/>
            <a:uFillTx/>
            <a:latin typeface="Times New Roman"/>
          </a:endParaRPr>
        </a:p>
        <a:p>
          <a:pPr defTabSz="457200">
            <a:lnSpc>
              <a:spcPct val="100000"/>
            </a:lnSpc>
            <a:tabLst>
              <a:tab pos="0" algn="l"/>
            </a:tabLst>
          </a:pPr>
          <a:r>
            <a:rPr lang="en-AU" sz="1050" b="0" u="none" strike="noStrike">
              <a:solidFill>
                <a:schemeClr val="dk1"/>
              </a:solidFill>
              <a:effectLst/>
              <a:uFillTx/>
              <a:latin typeface="Calibri"/>
            </a:rPr>
            <a:t>Thank you for your support. Call any time if you would like more detail.</a:t>
          </a:r>
          <a:endParaRPr lang="en-IN" sz="1050" b="0" u="none" strike="noStrike">
            <a:effectLst/>
            <a:uFillTx/>
            <a:latin typeface="Times New Roman"/>
          </a:endParaRPr>
        </a:p>
        <a:p>
          <a:pPr defTabSz="457200">
            <a:lnSpc>
              <a:spcPct val="10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r>
            <a:rPr lang="en-AU" sz="1800" b="0" u="none" strike="noStrike">
              <a:solidFill>
                <a:schemeClr val="dk1"/>
              </a:solidFill>
              <a:effectLst/>
              <a:uFillTx/>
              <a:latin typeface="Calibri"/>
            </a:rPr>
            <a:t> </a:t>
          </a:r>
          <a:r>
            <a:rPr lang="en-AU" sz="1050" b="0" u="none" strike="noStrike">
              <a:solidFill>
                <a:schemeClr val="dk1"/>
              </a:solidFill>
              <a:effectLst/>
              <a:uFillTx/>
              <a:latin typeface="Calibri"/>
            </a:rPr>
            <a:t> </a:t>
          </a: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r>
            <a:rPr lang="en-AU" sz="1800" b="0" u="none" strike="noStrike">
              <a:solidFill>
                <a:schemeClr val="dk1"/>
              </a:solidFill>
              <a:effectLst/>
              <a:uFillTx/>
              <a:latin typeface="Calibri"/>
            </a:rPr>
            <a:t> </a:t>
          </a:r>
          <a:r>
            <a:rPr lang="en-AU" sz="1050" b="0" u="none" strike="noStrike">
              <a:solidFill>
                <a:schemeClr val="dk1"/>
              </a:solidFill>
              <a:effectLst/>
              <a:uFillTx/>
              <a:latin typeface="Calibri"/>
            </a:rPr>
            <a:t> </a:t>
          </a: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defTabSz="457200">
            <a:lnSpc>
              <a:spcPct val="150000"/>
            </a:lnSpc>
            <a:tabLst>
              <a:tab pos="0" algn="l"/>
            </a:tabLst>
          </a:pPr>
          <a:endParaRPr lang="en-IN" sz="1050" b="0" u="none" strike="noStrike">
            <a:effectLst/>
            <a:uFillTx/>
            <a:latin typeface="Times New Roman"/>
          </a:endParaRPr>
        </a:p>
        <a:p>
          <a:pPr algn="ctr" defTabSz="457200">
            <a:lnSpc>
              <a:spcPct val="150000"/>
            </a:lnSpc>
            <a:tabLst>
              <a:tab pos="0" algn="l"/>
            </a:tabLst>
          </a:pPr>
          <a:endParaRPr lang="en-IN" sz="1050" b="0" u="none" strike="noStrike">
            <a:effectLst/>
            <a:uFillTx/>
            <a:latin typeface="Times New Roman"/>
          </a:endParaRPr>
        </a:p>
        <a:p>
          <a:pPr algn="ctr" defTabSz="457200">
            <a:lnSpc>
              <a:spcPct val="100000"/>
            </a:lnSpc>
            <a:tabLst>
              <a:tab pos="0" algn="l"/>
            </a:tabLst>
          </a:pPr>
          <a:endParaRPr lang="en-IN" sz="1600" b="0" u="none" strike="noStrike">
            <a:effectLst/>
            <a:uFillTx/>
            <a:latin typeface="Times New Roman"/>
          </a:endParaRPr>
        </a:p>
      </xdr:txBody>
    </xdr:sp>
    <xdr:clientData/>
  </xdr:twoCellAnchor>
  <xdr:twoCellAnchor editAs="oneCell">
    <xdr:from>
      <xdr:col>16</xdr:col>
      <xdr:colOff>531000</xdr:colOff>
      <xdr:row>34</xdr:row>
      <xdr:rowOff>150840</xdr:rowOff>
    </xdr:from>
    <xdr:to>
      <xdr:col>25</xdr:col>
      <xdr:colOff>268920</xdr:colOff>
      <xdr:row>41</xdr:row>
      <xdr:rowOff>81000</xdr:rowOff>
    </xdr:to>
    <xdr:pic>
      <xdr:nvPicPr>
        <xdr:cNvPr id="4" name="Picture 5">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2"/>
        <a:stretch/>
      </xdr:blipFill>
      <xdr:spPr>
        <a:xfrm>
          <a:off x="12564720" y="7199280"/>
          <a:ext cx="5103360" cy="1157040"/>
        </a:xfrm>
        <a:prstGeom prst="rect">
          <a:avLst/>
        </a:prstGeom>
        <a:noFill/>
        <a:ln w="0">
          <a:noFill/>
        </a:ln>
      </xdr:spPr>
    </xdr:pic>
    <xdr:clientData/>
  </xdr:twoCellAnchor>
  <xdr:twoCellAnchor editAs="oneCell">
    <xdr:from>
      <xdr:col>27</xdr:col>
      <xdr:colOff>155880</xdr:colOff>
      <xdr:row>33</xdr:row>
      <xdr:rowOff>74520</xdr:rowOff>
    </xdr:from>
    <xdr:to>
      <xdr:col>30</xdr:col>
      <xdr:colOff>294480</xdr:colOff>
      <xdr:row>41</xdr:row>
      <xdr:rowOff>68400</xdr:rowOff>
    </xdr:to>
    <xdr:pic>
      <xdr:nvPicPr>
        <xdr:cNvPr id="5" name="Picture 9">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3"/>
        <a:stretch/>
      </xdr:blipFill>
      <xdr:spPr>
        <a:xfrm>
          <a:off x="18692280" y="6947640"/>
          <a:ext cx="2121480" cy="1396080"/>
        </a:xfrm>
        <a:prstGeom prst="rect">
          <a:avLst/>
        </a:prstGeom>
        <a:noFill/>
        <a:ln w="0">
          <a:noFill/>
        </a:ln>
      </xdr:spPr>
    </xdr:pic>
    <xdr:clientData/>
  </xdr:twoCellAnchor>
  <xdr:twoCellAnchor editAs="oneCell">
    <xdr:from>
      <xdr:col>3</xdr:col>
      <xdr:colOff>129960</xdr:colOff>
      <xdr:row>131</xdr:row>
      <xdr:rowOff>166680</xdr:rowOff>
    </xdr:from>
    <xdr:to>
      <xdr:col>5</xdr:col>
      <xdr:colOff>763201</xdr:colOff>
      <xdr:row>138</xdr:row>
      <xdr:rowOff>156240</xdr:rowOff>
    </xdr:to>
    <xdr:pic>
      <xdr:nvPicPr>
        <xdr:cNvPr id="6" name="Picture 11">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4"/>
        <a:stretch/>
      </xdr:blipFill>
      <xdr:spPr>
        <a:xfrm>
          <a:off x="1166400" y="27597240"/>
          <a:ext cx="2365560" cy="1483200"/>
        </a:xfrm>
        <a:prstGeom prst="rect">
          <a:avLst/>
        </a:prstGeom>
        <a:noFill/>
        <a:ln w="0">
          <a:noFill/>
        </a:ln>
      </xdr:spPr>
    </xdr:pic>
    <xdr:clientData/>
  </xdr:twoCellAnchor>
  <xdr:twoCellAnchor editAs="oneCell">
    <xdr:from>
      <xdr:col>2</xdr:col>
      <xdr:colOff>90000</xdr:colOff>
      <xdr:row>57</xdr:row>
      <xdr:rowOff>186480</xdr:rowOff>
    </xdr:from>
    <xdr:to>
      <xdr:col>9</xdr:col>
      <xdr:colOff>348840</xdr:colOff>
      <xdr:row>72</xdr:row>
      <xdr:rowOff>88560</xdr:rowOff>
    </xdr:to>
    <xdr:graphicFrame macro="">
      <xdr:nvGraphicFramePr>
        <xdr:cNvPr id="7" name="Chart 2">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603360</xdr:colOff>
      <xdr:row>57</xdr:row>
      <xdr:rowOff>197280</xdr:rowOff>
    </xdr:from>
    <xdr:to>
      <xdr:col>15</xdr:col>
      <xdr:colOff>269640</xdr:colOff>
      <xdr:row>73</xdr:row>
      <xdr:rowOff>40680</xdr:rowOff>
    </xdr:to>
    <xdr:graphicFrame macro="">
      <xdr:nvGraphicFramePr>
        <xdr:cNvPr id="8" name="Chart 8">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438840</xdr:colOff>
      <xdr:row>118</xdr:row>
      <xdr:rowOff>60120</xdr:rowOff>
    </xdr:from>
    <xdr:to>
      <xdr:col>15</xdr:col>
      <xdr:colOff>603360</xdr:colOff>
      <xdr:row>141</xdr:row>
      <xdr:rowOff>78840</xdr:rowOff>
    </xdr:to>
    <xdr:sp macro="" textlink="">
      <xdr:nvSpPr>
        <xdr:cNvPr id="9" name="TextBox 30">
          <a:extLst>
            <a:ext uri="{FF2B5EF4-FFF2-40B4-BE49-F238E27FC236}">
              <a16:creationId xmlns:a16="http://schemas.microsoft.com/office/drawing/2014/main" id="{00000000-0008-0000-0100-000009000000}"/>
            </a:ext>
          </a:extLst>
        </xdr:cNvPr>
        <xdr:cNvSpPr/>
      </xdr:nvSpPr>
      <xdr:spPr>
        <a:xfrm>
          <a:off x="11002680" y="24698160"/>
          <a:ext cx="1030680" cy="4819320"/>
        </a:xfrm>
        <a:prstGeom prst="rect">
          <a:avLst/>
        </a:prstGeom>
        <a:no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ctr">
          <a:noAutofit/>
        </a:bodyPr>
        <a:lstStyle/>
        <a:p>
          <a:pPr algn="ctr">
            <a:lnSpc>
              <a:spcPct val="100000"/>
            </a:lnSpc>
          </a:pPr>
          <a:r>
            <a:rPr lang="en-AU" sz="2200" b="1" u="none" strike="noStrike">
              <a:solidFill>
                <a:schemeClr val="lt1"/>
              </a:solidFill>
              <a:effectLst/>
              <a:uFillTx/>
              <a:latin typeface="Montserrat"/>
            </a:rPr>
            <a:t>THE LASER BEAM FUND</a:t>
          </a:r>
          <a:endParaRPr lang="en-IN" sz="2200" b="0" u="none" strike="noStrike">
            <a:effectLst/>
            <a:uFillTx/>
            <a:latin typeface="Times New Roman"/>
          </a:endParaRPr>
        </a:p>
        <a:p>
          <a:pPr>
            <a:lnSpc>
              <a:spcPct val="100000"/>
            </a:lnSpc>
            <a:tabLst>
              <a:tab pos="0" algn="l"/>
            </a:tabLst>
          </a:pPr>
          <a:endParaRPr lang="en-IN" sz="1100" b="0" u="none" strike="noStrike">
            <a:effectLst/>
            <a:uFillTx/>
            <a:latin typeface="Times New Roman"/>
          </a:endParaRPr>
        </a:p>
        <a:p>
          <a:pPr>
            <a:lnSpc>
              <a:spcPct val="100000"/>
            </a:lnSpc>
            <a:tabLst>
              <a:tab pos="0" algn="l"/>
            </a:tabLst>
          </a:pPr>
          <a:r>
            <a:rPr lang="en-AU" sz="1500" b="1" u="none" strike="noStrike">
              <a:solidFill>
                <a:schemeClr val="lt1"/>
              </a:solidFill>
              <a:effectLst/>
              <a:uFillTx/>
              <a:latin typeface="Montserrat"/>
            </a:rPr>
            <a:t>Monthly Report - August 2025</a:t>
          </a:r>
          <a:endParaRPr lang="en-IN" sz="1500" b="0" u="none" strike="noStrike">
            <a:effectLst/>
            <a:uFillTx/>
            <a:latin typeface="Times New Roman"/>
          </a:endParaRPr>
        </a:p>
        <a:p>
          <a:pPr>
            <a:lnSpc>
              <a:spcPct val="100000"/>
            </a:lnSpc>
            <a:tabLst>
              <a:tab pos="0" algn="l"/>
            </a:tabLst>
          </a:pPr>
          <a:endParaRPr lang="en-IN" sz="1500" b="0" u="none" strike="noStrike">
            <a:effectLst/>
            <a:uFillTx/>
            <a:latin typeface="Times New Roman"/>
          </a:endParaRPr>
        </a:p>
        <a:p>
          <a:pPr>
            <a:lnSpc>
              <a:spcPct val="100000"/>
            </a:lnSpc>
            <a:tabLst>
              <a:tab pos="0" algn="l"/>
            </a:tabLst>
          </a:pPr>
          <a:r>
            <a:rPr lang="en-AU" sz="1100" b="0" u="none" strike="noStrike">
              <a:solidFill>
                <a:schemeClr val="lt1"/>
              </a:solidFill>
              <a:effectLst/>
              <a:uFillTx/>
              <a:latin typeface="Montserrat"/>
            </a:rPr>
            <a:t>Wholesale Investors | Post Fee Returns | Global L/S</a:t>
          </a:r>
          <a:endParaRPr lang="en-IN" sz="1100" b="0" u="none" strike="noStrike">
            <a:effectLst/>
            <a:uFillTx/>
            <a:latin typeface="Times New Roman"/>
          </a:endParaRPr>
        </a:p>
      </xdr:txBody>
    </xdr:sp>
    <xdr:clientData/>
  </xdr:twoCellAnchor>
  <xdr:twoCellAnchor>
    <xdr:from>
      <xdr:col>17</xdr:col>
      <xdr:colOff>578520</xdr:colOff>
      <xdr:row>8</xdr:row>
      <xdr:rowOff>262800</xdr:rowOff>
    </xdr:from>
    <xdr:to>
      <xdr:col>37</xdr:col>
      <xdr:colOff>83520</xdr:colOff>
      <xdr:row>29</xdr:row>
      <xdr:rowOff>167400</xdr:rowOff>
    </xdr:to>
    <xdr:grpSp>
      <xdr:nvGrpSpPr>
        <xdr:cNvPr id="10" name="Group 46">
          <a:extLst>
            <a:ext uri="{FF2B5EF4-FFF2-40B4-BE49-F238E27FC236}">
              <a16:creationId xmlns:a16="http://schemas.microsoft.com/office/drawing/2014/main" id="{00000000-0008-0000-0100-00000A000000}"/>
            </a:ext>
          </a:extLst>
        </xdr:cNvPr>
        <xdr:cNvGrpSpPr/>
      </xdr:nvGrpSpPr>
      <xdr:grpSpPr>
        <a:xfrm>
          <a:off x="13478372" y="1924075"/>
          <a:ext cx="11322927" cy="4549683"/>
          <a:chOff x="13387680" y="1872360"/>
          <a:chExt cx="11462760" cy="4467240"/>
        </a:xfrm>
      </xdr:grpSpPr>
      <xdr:sp macro="" textlink="">
        <xdr:nvSpPr>
          <xdr:cNvPr id="11" name="Picture 43">
            <a:extLst>
              <a:ext uri="{FF2B5EF4-FFF2-40B4-BE49-F238E27FC236}">
                <a16:creationId xmlns:a16="http://schemas.microsoft.com/office/drawing/2014/main" id="{00000000-0008-0000-0100-00000B000000}"/>
              </a:ext>
            </a:extLst>
          </xdr:cNvPr>
          <xdr:cNvSpPr/>
        </xdr:nvSpPr>
        <xdr:spPr>
          <a:xfrm>
            <a:off x="13387680" y="1872360"/>
            <a:ext cx="11462760" cy="3193920"/>
          </a:xfrm>
          <a:prstGeom prst="roundRect">
            <a:avLst>
              <a:gd name="adj" fmla="val 8594"/>
            </a:avLst>
          </a:prstGeom>
          <a:blipFill rotWithShape="0">
            <a:blip xmlns:r="http://schemas.openxmlformats.org/officeDocument/2006/relationships" r:embed="rId7"/>
            <a:srcRect/>
            <a:stretch/>
          </a:blipFill>
          <a:ln w="0">
            <a:noFill/>
          </a:ln>
          <a:effectLst>
            <a:reflection blurRad="12700" stA="38000" endPos="28000" dist="5000" dir="5400000" sy="-100000" algn="bl" rotWithShape="0"/>
          </a:effectLst>
        </xdr:spPr>
        <xdr:style>
          <a:lnRef idx="0">
            <a:scrgbClr r="0" g="0" b="0"/>
          </a:lnRef>
          <a:fillRef idx="0">
            <a:scrgbClr r="0" g="0" b="0"/>
          </a:fillRef>
          <a:effectRef idx="0">
            <a:scrgbClr r="0" g="0" b="0"/>
          </a:effectRef>
          <a:fontRef idx="minor"/>
        </xdr:style>
      </xdr:sp>
      <xdr:sp macro="" textlink="">
        <xdr:nvSpPr>
          <xdr:cNvPr id="12" name="TextBox 44">
            <a:extLst>
              <a:ext uri="{FF2B5EF4-FFF2-40B4-BE49-F238E27FC236}">
                <a16:creationId xmlns:a16="http://schemas.microsoft.com/office/drawing/2014/main" id="{00000000-0008-0000-0100-00000C000000}"/>
              </a:ext>
            </a:extLst>
          </xdr:cNvPr>
          <xdr:cNvSpPr/>
        </xdr:nvSpPr>
        <xdr:spPr>
          <a:xfrm>
            <a:off x="13583520" y="1940760"/>
            <a:ext cx="5900040" cy="3068280"/>
          </a:xfrm>
          <a:prstGeom prst="rect">
            <a:avLst/>
          </a:prstGeom>
          <a:no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ctr">
            <a:noAutofit/>
          </a:bodyPr>
          <a:lstStyle/>
          <a:p>
            <a:pPr>
              <a:lnSpc>
                <a:spcPct val="100000"/>
              </a:lnSpc>
            </a:pPr>
            <a:r>
              <a:rPr lang="en-AU" sz="3200" b="1" u="none" strike="noStrike">
                <a:solidFill>
                  <a:schemeClr val="lt1"/>
                </a:solidFill>
                <a:effectLst/>
                <a:uFillTx/>
                <a:latin typeface="Montserrat"/>
              </a:rPr>
              <a:t>THE LASER BEAM FUND</a:t>
            </a:r>
            <a:endParaRPr lang="en-IN" sz="3200" b="0" u="none" strike="noStrike">
              <a:effectLst/>
              <a:uFillTx/>
              <a:latin typeface="Times New Roman"/>
            </a:endParaRPr>
          </a:p>
          <a:p>
            <a:pPr>
              <a:lnSpc>
                <a:spcPct val="100000"/>
              </a:lnSpc>
              <a:tabLst>
                <a:tab pos="0" algn="l"/>
              </a:tabLst>
            </a:pPr>
            <a:endParaRPr lang="en-IN" sz="1600" b="0" u="none" strike="noStrike">
              <a:effectLst/>
              <a:uFillTx/>
              <a:latin typeface="Times New Roman"/>
            </a:endParaRPr>
          </a:p>
          <a:p>
            <a:pPr>
              <a:lnSpc>
                <a:spcPct val="100000"/>
              </a:lnSpc>
              <a:tabLst>
                <a:tab pos="0" algn="l"/>
              </a:tabLst>
            </a:pPr>
            <a:r>
              <a:rPr lang="en-AU" sz="2050" b="1" u="none" strike="noStrike">
                <a:solidFill>
                  <a:schemeClr val="lt1"/>
                </a:solidFill>
                <a:effectLst/>
                <a:uFillTx/>
                <a:latin typeface="Montserrat"/>
              </a:rPr>
              <a:t>Monthly Report - September 2025</a:t>
            </a:r>
            <a:endParaRPr lang="en-IN" sz="2050" b="0" u="none" strike="noStrike">
              <a:effectLst/>
              <a:uFillTx/>
              <a:latin typeface="Times New Roman"/>
            </a:endParaRPr>
          </a:p>
          <a:p>
            <a:pPr>
              <a:lnSpc>
                <a:spcPct val="100000"/>
              </a:lnSpc>
              <a:tabLst>
                <a:tab pos="0" algn="l"/>
              </a:tabLst>
            </a:pPr>
            <a:endParaRPr lang="en-IN" sz="2000" b="0" u="none" strike="noStrike">
              <a:effectLst/>
              <a:uFillTx/>
              <a:latin typeface="Times New Roman"/>
            </a:endParaRPr>
          </a:p>
          <a:p>
            <a:pPr>
              <a:lnSpc>
                <a:spcPct val="100000"/>
              </a:lnSpc>
              <a:tabLst>
                <a:tab pos="0" algn="l"/>
              </a:tabLst>
            </a:pPr>
            <a:r>
              <a:rPr lang="en-AU" sz="1400" b="0" u="none" strike="noStrike">
                <a:solidFill>
                  <a:schemeClr val="lt1"/>
                </a:solidFill>
                <a:effectLst/>
                <a:uFillTx/>
                <a:latin typeface="Montserrat"/>
              </a:rPr>
              <a:t>Wholesale Investors | Post Fee Returns | Global L/S</a:t>
            </a:r>
            <a:endParaRPr lang="en-IN" sz="1400" b="0" u="none" strike="noStrike">
              <a:effectLst/>
              <a:uFillTx/>
              <a:latin typeface="Times New Roman"/>
            </a:endParaRPr>
          </a:p>
        </xdr:txBody>
      </xdr:sp>
      <xdr:sp macro="" textlink="">
        <xdr:nvSpPr>
          <xdr:cNvPr id="13" name="TextBox 45">
            <a:extLst>
              <a:ext uri="{FF2B5EF4-FFF2-40B4-BE49-F238E27FC236}">
                <a16:creationId xmlns:a16="http://schemas.microsoft.com/office/drawing/2014/main" id="{00000000-0008-0000-0100-00000D000000}"/>
              </a:ext>
            </a:extLst>
          </xdr:cNvPr>
          <xdr:cNvSpPr/>
        </xdr:nvSpPr>
        <xdr:spPr>
          <a:xfrm>
            <a:off x="13411440" y="4607280"/>
            <a:ext cx="11387160" cy="1732320"/>
          </a:xfrm>
          <a:prstGeom prst="rect">
            <a:avLst/>
          </a:prstGeom>
          <a:no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ctr">
            <a:noAutofit/>
          </a:bodyPr>
          <a:lstStyle/>
          <a:p>
            <a:pPr algn="ctr">
              <a:lnSpc>
                <a:spcPct val="100000"/>
              </a:lnSpc>
            </a:pPr>
            <a:r>
              <a:rPr lang="en-AU" sz="1700" b="0" u="none" strike="noStrike">
                <a:solidFill>
                  <a:srgbClr val="000000"/>
                </a:solidFill>
                <a:effectLst/>
                <a:uFillTx/>
                <a:latin typeface="Montserrat"/>
              </a:rPr>
              <a:t>A global focused fund built to capitalise on market asymmetry </a:t>
            </a:r>
            <a:endParaRPr lang="en-IN" sz="1700" b="0" u="none" strike="noStrike">
              <a:effectLst/>
              <a:uFillTx/>
              <a:latin typeface="Times New Roman"/>
            </a:endParaRPr>
          </a:p>
        </xdr:txBody>
      </xdr:sp>
    </xdr:grpSp>
    <xdr:clientData/>
  </xdr:twoCellAnchor>
  <xdr:twoCellAnchor editAs="oneCell">
    <xdr:from>
      <xdr:col>36</xdr:col>
      <xdr:colOff>545760</xdr:colOff>
      <xdr:row>112</xdr:row>
      <xdr:rowOff>45000</xdr:rowOff>
    </xdr:from>
    <xdr:to>
      <xdr:col>48</xdr:col>
      <xdr:colOff>256680</xdr:colOff>
      <xdr:row>132</xdr:row>
      <xdr:rowOff>78480</xdr:rowOff>
    </xdr:to>
    <xdr:pic>
      <xdr:nvPicPr>
        <xdr:cNvPr id="14" name="Picture 53">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8"/>
        <a:stretch/>
      </xdr:blipFill>
      <xdr:spPr>
        <a:xfrm>
          <a:off x="24708960" y="23168520"/>
          <a:ext cx="6957360" cy="4561200"/>
        </a:xfrm>
        <a:prstGeom prst="rect">
          <a:avLst/>
        </a:prstGeom>
        <a:noFill/>
        <a:ln w="0">
          <a:noFill/>
        </a:ln>
      </xdr:spPr>
    </xdr:pic>
    <xdr:clientData/>
  </xdr:twoCellAnchor>
  <xdr:twoCellAnchor editAs="oneCell">
    <xdr:from>
      <xdr:col>37</xdr:col>
      <xdr:colOff>74160</xdr:colOff>
      <xdr:row>135</xdr:row>
      <xdr:rowOff>207360</xdr:rowOff>
    </xdr:from>
    <xdr:to>
      <xdr:col>42</xdr:col>
      <xdr:colOff>568080</xdr:colOff>
      <xdr:row>160</xdr:row>
      <xdr:rowOff>77760</xdr:rowOff>
    </xdr:to>
    <xdr:pic>
      <xdr:nvPicPr>
        <xdr:cNvPr id="15" name="Picture 54">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9"/>
        <a:stretch/>
      </xdr:blipFill>
      <xdr:spPr>
        <a:xfrm>
          <a:off x="24841080" y="28519560"/>
          <a:ext cx="3513240" cy="4254480"/>
        </a:xfrm>
        <a:prstGeom prst="rect">
          <a:avLst/>
        </a:prstGeom>
        <a:noFill/>
        <a:ln w="0">
          <a:noFill/>
        </a:ln>
      </xdr:spPr>
    </xdr:pic>
    <xdr:clientData/>
  </xdr:twoCellAnchor>
  <xdr:twoCellAnchor>
    <xdr:from>
      <xdr:col>1</xdr:col>
      <xdr:colOff>112320</xdr:colOff>
      <xdr:row>98</xdr:row>
      <xdr:rowOff>17280</xdr:rowOff>
    </xdr:from>
    <xdr:to>
      <xdr:col>14</xdr:col>
      <xdr:colOff>490320</xdr:colOff>
      <xdr:row>103</xdr:row>
      <xdr:rowOff>136440</xdr:rowOff>
    </xdr:to>
    <xdr:sp macro="" textlink="">
      <xdr:nvSpPr>
        <xdr:cNvPr id="16" name="TextBox 4">
          <a:extLst>
            <a:ext uri="{FF2B5EF4-FFF2-40B4-BE49-F238E27FC236}">
              <a16:creationId xmlns:a16="http://schemas.microsoft.com/office/drawing/2014/main" id="{00000000-0008-0000-0100-000010000000}"/>
            </a:ext>
          </a:extLst>
        </xdr:cNvPr>
        <xdr:cNvSpPr/>
      </xdr:nvSpPr>
      <xdr:spPr>
        <a:xfrm>
          <a:off x="716040" y="20353680"/>
          <a:ext cx="10338120" cy="100116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defTabSz="457200">
            <a:lnSpc>
              <a:spcPct val="100000"/>
            </a:lnSpc>
          </a:pPr>
          <a:r>
            <a:rPr lang="en-AU" sz="1500" b="1" u="none" strike="noStrike">
              <a:solidFill>
                <a:srgbClr val="000000"/>
              </a:solidFill>
              <a:effectLst/>
              <a:uFillTx/>
              <a:latin typeface="Montserrat"/>
            </a:rPr>
            <a:t>HEDGING</a:t>
          </a:r>
          <a:endParaRPr lang="en-IN" sz="1500" b="0" u="none" strike="noStrike">
            <a:effectLst/>
            <a:uFillTx/>
            <a:latin typeface="Times New Roman"/>
          </a:endParaRPr>
        </a:p>
        <a:p>
          <a:pPr defTabSz="457200">
            <a:lnSpc>
              <a:spcPct val="100000"/>
            </a:lnSpc>
          </a:pPr>
          <a:r>
            <a:rPr lang="en-AU" sz="1050" b="0" u="none" strike="noStrike">
              <a:solidFill>
                <a:schemeClr val="dk1"/>
              </a:solidFill>
              <a:effectLst/>
              <a:uFillTx/>
              <a:latin typeface="Montserrat"/>
            </a:rPr>
            <a:t>Hedging is part of our core process, not a trade. We aim to protect capital, smooth the return path and keep dry powder so we can play offence when others are forced to sell. We flex net exposure using index futures and options such as put spreads, collars and opportunistic call overwrites to neutralise market risk at low carry, add selective single name shorts where fundamentals are deteriorating or positioning is crowded, and hold cash when the opportunity set is thin. Hedge size lifts into event risk and leadership extremes, then is reduced into dislocations so we can buy weakness. We also use factor, sector and currency hedges when they better match the risk than broad index protection.</a:t>
          </a:r>
          <a:endParaRPr lang="en-IN" sz="1050" b="0" u="none" strike="noStrike">
            <a:effectLst/>
            <a:uFillTx/>
            <a:latin typeface="Times New Roman"/>
          </a:endParaRPr>
        </a:p>
      </xdr:txBody>
    </xdr:sp>
    <xdr:clientData/>
  </xdr:twoCellAnchor>
  <xdr:twoCellAnchor>
    <xdr:from>
      <xdr:col>2</xdr:col>
      <xdr:colOff>107280</xdr:colOff>
      <xdr:row>83</xdr:row>
      <xdr:rowOff>154440</xdr:rowOff>
    </xdr:from>
    <xdr:to>
      <xdr:col>14</xdr:col>
      <xdr:colOff>777600</xdr:colOff>
      <xdr:row>89</xdr:row>
      <xdr:rowOff>104040</xdr:rowOff>
    </xdr:to>
    <xdr:sp macro="" textlink="">
      <xdr:nvSpPr>
        <xdr:cNvPr id="17" name="TextBox 4">
          <a:extLst>
            <a:ext uri="{FF2B5EF4-FFF2-40B4-BE49-F238E27FC236}">
              <a16:creationId xmlns:a16="http://schemas.microsoft.com/office/drawing/2014/main" id="{00000000-0008-0000-0100-000011000000}"/>
            </a:ext>
          </a:extLst>
        </xdr:cNvPr>
        <xdr:cNvSpPr/>
      </xdr:nvSpPr>
      <xdr:spPr>
        <a:xfrm>
          <a:off x="1033200" y="17862120"/>
          <a:ext cx="10308240" cy="100116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defTabSz="457200">
            <a:lnSpc>
              <a:spcPct val="100000"/>
            </a:lnSpc>
          </a:pPr>
          <a:r>
            <a:rPr lang="en-AU" sz="1500" b="1" u="none" strike="noStrike">
              <a:solidFill>
                <a:srgbClr val="000000"/>
              </a:solidFill>
              <a:effectLst/>
              <a:uFillTx/>
              <a:latin typeface="Montserrat"/>
            </a:rPr>
            <a:t>AI ANALYST</a:t>
          </a:r>
          <a:endParaRPr lang="en-IN" sz="1500" b="0" u="none" strike="noStrike">
            <a:effectLst/>
            <a:uFillTx/>
            <a:latin typeface="Times New Roman"/>
          </a:endParaRPr>
        </a:p>
        <a:p>
          <a:pPr defTabSz="457200">
            <a:lnSpc>
              <a:spcPct val="100000"/>
            </a:lnSpc>
          </a:pPr>
          <a:r>
            <a:rPr lang="en-AU" sz="1050" b="0" u="none" strike="noStrike">
              <a:solidFill>
                <a:schemeClr val="dk1"/>
              </a:solidFill>
              <a:effectLst/>
              <a:uFillTx/>
              <a:latin typeface="Montserrat"/>
            </a:rPr>
            <a:t>It ingests earnings calls, company filings, price and volume, options flow and credible web signals each day, then ranks what changed and why it matters. Language models flag guidance shifts, management tone, competitive pressure and anomalies that are easy to miss at speed, while pattern detection surfaces repeatable set ups and builds live watchlists with entry and exit levels, catalysts and risks. The output is concise one page briefs and scenario tests that support quicker and better sizing decisions. It augments our work, it does not decide, and every idea still passes a fundamental review before capital is risked.</a:t>
          </a:r>
          <a:endParaRPr lang="en-IN" sz="1050" b="0" u="none" strike="noStrike">
            <a:effectLst/>
            <a:uFillTx/>
            <a:latin typeface="Times New Roman"/>
          </a:endParaRPr>
        </a:p>
      </xdr:txBody>
    </xdr:sp>
    <xdr:clientData/>
  </xdr:twoCellAnchor>
  <xdr:twoCellAnchor>
    <xdr:from>
      <xdr:col>2</xdr:col>
      <xdr:colOff>84240</xdr:colOff>
      <xdr:row>91</xdr:row>
      <xdr:rowOff>6840</xdr:rowOff>
    </xdr:from>
    <xdr:to>
      <xdr:col>14</xdr:col>
      <xdr:colOff>840960</xdr:colOff>
      <xdr:row>96</xdr:row>
      <xdr:rowOff>109800</xdr:rowOff>
    </xdr:to>
    <xdr:sp macro="" textlink="">
      <xdr:nvSpPr>
        <xdr:cNvPr id="18" name="TextBox 6">
          <a:extLst>
            <a:ext uri="{FF2B5EF4-FFF2-40B4-BE49-F238E27FC236}">
              <a16:creationId xmlns:a16="http://schemas.microsoft.com/office/drawing/2014/main" id="{00000000-0008-0000-0100-000012000000}"/>
            </a:ext>
          </a:extLst>
        </xdr:cNvPr>
        <xdr:cNvSpPr/>
      </xdr:nvSpPr>
      <xdr:spPr>
        <a:xfrm>
          <a:off x="1010160" y="19116360"/>
          <a:ext cx="10394640" cy="97956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defTabSz="457200">
            <a:lnSpc>
              <a:spcPct val="100000"/>
            </a:lnSpc>
          </a:pPr>
          <a:r>
            <a:rPr lang="en-AU" sz="1500" b="1" u="none" strike="noStrike">
              <a:solidFill>
                <a:srgbClr val="000000"/>
              </a:solidFill>
              <a:effectLst/>
              <a:uFillTx/>
              <a:latin typeface="Montserrat"/>
            </a:rPr>
            <a:t>RISK MANAGEMENT</a:t>
          </a:r>
          <a:endParaRPr lang="en-IN" sz="1500" b="0" u="none" strike="noStrike">
            <a:effectLst/>
            <a:uFillTx/>
            <a:latin typeface="Times New Roman"/>
          </a:endParaRPr>
        </a:p>
        <a:p>
          <a:pPr defTabSz="457200">
            <a:lnSpc>
              <a:spcPct val="100000"/>
            </a:lnSpc>
          </a:pPr>
          <a:r>
            <a:rPr lang="en-AU" sz="1050" b="0" u="none" strike="noStrike">
              <a:solidFill>
                <a:schemeClr val="dk1"/>
              </a:solidFill>
              <a:effectLst/>
              <a:uFillTx/>
              <a:latin typeface="Montserrat"/>
            </a:rPr>
            <a:t>We are return focused and drawdown aware. Risk is set before entry: every trade has defined downside, a stop loss, and a position size based on conviction, liquidity and risk reward within name and sector limits. Gross and net exposure sit inside bands, with hedges and shorts used to neutralise unintended risks. Liquidity comes first, supported by event playbooks and ongoing stress tests across rates, currency, factors and commodities; portfolio drawdown triggers force action. Independent trustee, administration and audit provide oversight with daily reconciliation, and the Portfolio Manager invests alongside clients.</a:t>
          </a:r>
          <a:endParaRPr lang="en-IN" sz="1050" b="0" u="none" strike="noStrike">
            <a:effectLst/>
            <a:uFillTx/>
            <a:latin typeface="Times New Roman"/>
          </a:endParaRPr>
        </a:p>
      </xdr:txBody>
    </xdr:sp>
    <xdr:clientData/>
  </xdr:twoCellAnchor>
  <xdr:twoCellAnchor>
    <xdr:from>
      <xdr:col>17</xdr:col>
      <xdr:colOff>599040</xdr:colOff>
      <xdr:row>47</xdr:row>
      <xdr:rowOff>34200</xdr:rowOff>
    </xdr:from>
    <xdr:to>
      <xdr:col>37</xdr:col>
      <xdr:colOff>82440</xdr:colOff>
      <xdr:row>55</xdr:row>
      <xdr:rowOff>1440</xdr:rowOff>
    </xdr:to>
    <xdr:sp macro="" textlink="">
      <xdr:nvSpPr>
        <xdr:cNvPr id="19" name="Picture 17">
          <a:extLst>
            <a:ext uri="{FF2B5EF4-FFF2-40B4-BE49-F238E27FC236}">
              <a16:creationId xmlns:a16="http://schemas.microsoft.com/office/drawing/2014/main" id="{00000000-0008-0000-0100-000013000000}"/>
            </a:ext>
          </a:extLst>
        </xdr:cNvPr>
        <xdr:cNvSpPr/>
      </xdr:nvSpPr>
      <xdr:spPr>
        <a:xfrm>
          <a:off x="13408200" y="9770760"/>
          <a:ext cx="11441160" cy="2024640"/>
        </a:xfrm>
        <a:prstGeom prst="roundRect">
          <a:avLst>
            <a:gd name="adj" fmla="val 8594"/>
          </a:avLst>
        </a:prstGeom>
        <a:blipFill rotWithShape="0">
          <a:blip xmlns:r="http://schemas.openxmlformats.org/officeDocument/2006/relationships" r:embed="rId7"/>
          <a:srcRect/>
          <a:stretch/>
        </a:blipFill>
        <a:ln w="0">
          <a:noFill/>
        </a:ln>
        <a:effectLst>
          <a:reflection blurRad="12700" stA="38000" endPos="28000" dist="5000" dir="5400000" sy="-100000" algn="bl" rotWithShape="0"/>
        </a:effectLst>
      </xdr:spPr>
      <xdr:style>
        <a:lnRef idx="0">
          <a:scrgbClr r="0" g="0" b="0"/>
        </a:lnRef>
        <a:fillRef idx="0">
          <a:scrgbClr r="0" g="0" b="0"/>
        </a:fillRef>
        <a:effectRef idx="0">
          <a:scrgbClr r="0" g="0" b="0"/>
        </a:effectRef>
        <a:fontRef idx="minor"/>
      </xdr:style>
    </xdr:sp>
    <xdr:clientData/>
  </xdr:twoCellAnchor>
  <xdr:twoCellAnchor>
    <xdr:from>
      <xdr:col>18</xdr:col>
      <xdr:colOff>189000</xdr:colOff>
      <xdr:row>47</xdr:row>
      <xdr:rowOff>234000</xdr:rowOff>
    </xdr:from>
    <xdr:to>
      <xdr:col>30</xdr:col>
      <xdr:colOff>581760</xdr:colOff>
      <xdr:row>55</xdr:row>
      <xdr:rowOff>224640</xdr:rowOff>
    </xdr:to>
    <xdr:sp macro="" textlink="">
      <xdr:nvSpPr>
        <xdr:cNvPr id="20" name="TextBox 18">
          <a:extLst>
            <a:ext uri="{FF2B5EF4-FFF2-40B4-BE49-F238E27FC236}">
              <a16:creationId xmlns:a16="http://schemas.microsoft.com/office/drawing/2014/main" id="{00000000-0008-0000-0100-000014000000}"/>
            </a:ext>
          </a:extLst>
        </xdr:cNvPr>
        <xdr:cNvSpPr/>
      </xdr:nvSpPr>
      <xdr:spPr>
        <a:xfrm>
          <a:off x="13602240" y="9970560"/>
          <a:ext cx="7498800" cy="2048040"/>
        </a:xfrm>
        <a:prstGeom prst="rect">
          <a:avLst/>
        </a:prstGeom>
        <a:no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ctr">
          <a:noAutofit/>
        </a:bodyPr>
        <a:lstStyle/>
        <a:p>
          <a:pPr defTabSz="914400">
            <a:lnSpc>
              <a:spcPct val="100000"/>
            </a:lnSpc>
            <a:tabLst>
              <a:tab pos="0" algn="l"/>
            </a:tabLst>
          </a:pPr>
          <a:endParaRPr lang="en-IN" sz="3200" b="0" u="none" strike="noStrike">
            <a:effectLst/>
            <a:uFillTx/>
            <a:latin typeface="Times New Roman"/>
          </a:endParaRPr>
        </a:p>
        <a:p>
          <a:pPr defTabSz="914400">
            <a:lnSpc>
              <a:spcPct val="100000"/>
            </a:lnSpc>
            <a:tabLst>
              <a:tab pos="0" algn="l"/>
            </a:tabLst>
          </a:pPr>
          <a:r>
            <a:rPr lang="en-AU" sz="3200" b="1" u="none" strike="noStrike">
              <a:solidFill>
                <a:schemeClr val="lt1"/>
              </a:solidFill>
              <a:effectLst/>
              <a:uFillTx/>
              <a:latin typeface="Montserrat"/>
            </a:rPr>
            <a:t>THE LASER BEAM FUND</a:t>
          </a:r>
          <a:endParaRPr lang="en-IN" sz="3200" b="0" u="none" strike="noStrike">
            <a:effectLst/>
            <a:uFillTx/>
            <a:latin typeface="Times New Roman"/>
          </a:endParaRPr>
        </a:p>
        <a:p>
          <a:pPr defTabSz="914400">
            <a:lnSpc>
              <a:spcPct val="100000"/>
            </a:lnSpc>
            <a:tabLst>
              <a:tab pos="0" algn="l"/>
            </a:tabLst>
          </a:pPr>
          <a:endParaRPr lang="en-IN" sz="3200" b="0" u="none" strike="noStrike">
            <a:effectLst/>
            <a:uFillTx/>
            <a:latin typeface="Times New Roman"/>
          </a:endParaRPr>
        </a:p>
      </xdr:txBody>
    </xdr:sp>
    <xdr:clientData/>
  </xdr:twoCellAnchor>
  <xdr:twoCellAnchor>
    <xdr:from>
      <xdr:col>18</xdr:col>
      <xdr:colOff>0</xdr:colOff>
      <xdr:row>54</xdr:row>
      <xdr:rowOff>169560</xdr:rowOff>
    </xdr:from>
    <xdr:to>
      <xdr:col>37</xdr:col>
      <xdr:colOff>193320</xdr:colOff>
      <xdr:row>57</xdr:row>
      <xdr:rowOff>169200</xdr:rowOff>
    </xdr:to>
    <xdr:sp macro="" textlink="">
      <xdr:nvSpPr>
        <xdr:cNvPr id="21" name="TextBox 19">
          <a:extLst>
            <a:ext uri="{FF2B5EF4-FFF2-40B4-BE49-F238E27FC236}">
              <a16:creationId xmlns:a16="http://schemas.microsoft.com/office/drawing/2014/main" id="{00000000-0008-0000-0100-000015000000}"/>
            </a:ext>
          </a:extLst>
        </xdr:cNvPr>
        <xdr:cNvSpPr/>
      </xdr:nvSpPr>
      <xdr:spPr>
        <a:xfrm>
          <a:off x="13413240" y="11706120"/>
          <a:ext cx="11547000" cy="799920"/>
        </a:xfrm>
        <a:prstGeom prst="rect">
          <a:avLst/>
        </a:prstGeom>
        <a:no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ctr">
          <a:noAutofit/>
        </a:bodyPr>
        <a:lstStyle/>
        <a:p>
          <a:pPr algn="ctr">
            <a:lnSpc>
              <a:spcPct val="100000"/>
            </a:lnSpc>
          </a:pPr>
          <a:r>
            <a:rPr lang="en-AU" sz="1700" b="0" u="none" strike="noStrike">
              <a:solidFill>
                <a:srgbClr val="000000"/>
              </a:solidFill>
              <a:effectLst/>
              <a:uFillTx/>
              <a:latin typeface="Montserrat"/>
            </a:rPr>
            <a:t>A global investment fund built to capitalise on market asymmetry </a:t>
          </a:r>
          <a:endParaRPr lang="en-IN" sz="1700" b="0" u="none" strike="noStrike">
            <a:effectLst/>
            <a:uFillTx/>
            <a:latin typeface="Times New Roman"/>
          </a:endParaRPr>
        </a:p>
      </xdr:txBody>
    </xdr:sp>
    <xdr:clientData/>
  </xdr:twoCellAnchor>
  <xdr:twoCellAnchor editAs="oneCell">
    <xdr:from>
      <xdr:col>2</xdr:col>
      <xdr:colOff>0</xdr:colOff>
      <xdr:row>0</xdr:row>
      <xdr:rowOff>0</xdr:rowOff>
    </xdr:from>
    <xdr:to>
      <xdr:col>15</xdr:col>
      <xdr:colOff>5086</xdr:colOff>
      <xdr:row>16</xdr:row>
      <xdr:rowOff>57960</xdr:rowOff>
    </xdr:to>
    <xdr:pic>
      <xdr:nvPicPr>
        <xdr:cNvPr id="22" name="Picture 20">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10"/>
        <a:stretch/>
      </xdr:blipFill>
      <xdr:spPr>
        <a:xfrm>
          <a:off x="925920" y="0"/>
          <a:ext cx="10503720" cy="3096360"/>
        </a:xfrm>
        <a:prstGeom prst="rect">
          <a:avLst/>
        </a:prstGeom>
        <a:noFill/>
        <a:ln w="0">
          <a:noFill/>
        </a:ln>
      </xdr:spPr>
    </xdr:pic>
    <xdr:clientData/>
  </xdr:twoCellAnchor>
  <xdr:twoCellAnchor editAs="oneCell">
    <xdr:from>
      <xdr:col>3</xdr:col>
      <xdr:colOff>203400</xdr:colOff>
      <xdr:row>108</xdr:row>
      <xdr:rowOff>102600</xdr:rowOff>
    </xdr:from>
    <xdr:to>
      <xdr:col>12</xdr:col>
      <xdr:colOff>749160</xdr:colOff>
      <xdr:row>121</xdr:row>
      <xdr:rowOff>2520</xdr:rowOff>
    </xdr:to>
    <xdr:pic>
      <xdr:nvPicPr>
        <xdr:cNvPr id="23" name="Picture 8">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11"/>
        <a:stretch/>
      </xdr:blipFill>
      <xdr:spPr>
        <a:xfrm>
          <a:off x="1239840" y="22197600"/>
          <a:ext cx="8340840" cy="3119040"/>
        </a:xfrm>
        <a:prstGeom prst="rect">
          <a:avLst/>
        </a:prstGeom>
        <a:noFill/>
        <a:ln w="0">
          <a:noFill/>
        </a:ln>
      </xdr:spPr>
    </xdr:pic>
    <xdr:clientData/>
  </xdr:twoCellAnchor>
  <xdr:twoCellAnchor editAs="oneCell">
    <xdr:from>
      <xdr:col>3</xdr:col>
      <xdr:colOff>736560</xdr:colOff>
      <xdr:row>139</xdr:row>
      <xdr:rowOff>9720</xdr:rowOff>
    </xdr:from>
    <xdr:to>
      <xdr:col>16</xdr:col>
      <xdr:colOff>164881</xdr:colOff>
      <xdr:row>161</xdr:row>
      <xdr:rowOff>80280</xdr:rowOff>
    </xdr:to>
    <xdr:pic>
      <xdr:nvPicPr>
        <xdr:cNvPr id="24" name="Picture 24">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12"/>
        <a:stretch/>
      </xdr:blipFill>
      <xdr:spPr>
        <a:xfrm>
          <a:off x="1773000" y="29105280"/>
          <a:ext cx="10425600" cy="38426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83</xdr:col>
      <xdr:colOff>394560</xdr:colOff>
      <xdr:row>25</xdr:row>
      <xdr:rowOff>41040</xdr:rowOff>
    </xdr:from>
    <xdr:to>
      <xdr:col>84</xdr:col>
      <xdr:colOff>353520</xdr:colOff>
      <xdr:row>28</xdr:row>
      <xdr:rowOff>24480</xdr:rowOff>
    </xdr:to>
    <xdr:sp macro="[0]!Step2Hardcode" textlink="">
      <xdr:nvSpPr>
        <xdr:cNvPr id="25" name="Rectangle: Rounded Corners 3">
          <a:extLst>
            <a:ext uri="{FF2B5EF4-FFF2-40B4-BE49-F238E27FC236}">
              <a16:creationId xmlns:a16="http://schemas.microsoft.com/office/drawing/2014/main" id="{00000000-0008-0000-0200-000019000000}"/>
            </a:ext>
          </a:extLst>
        </xdr:cNvPr>
        <xdr:cNvSpPr/>
      </xdr:nvSpPr>
      <xdr:spPr>
        <a:xfrm>
          <a:off x="72967320" y="5555520"/>
          <a:ext cx="885600" cy="526320"/>
        </a:xfrm>
        <a:prstGeom prst="roundRect">
          <a:avLst>
            <a:gd name="adj" fmla="val 16667"/>
          </a:avLst>
        </a:prstGeom>
        <a:solidFill>
          <a:srgbClr val="A5300F"/>
        </a:solidFill>
        <a:ln w="19050">
          <a:solidFill>
            <a:srgbClr val="FFFFFF"/>
          </a:solidFill>
          <a:miter/>
        </a:ln>
      </xdr:spPr>
      <xdr:style>
        <a:lnRef idx="3">
          <a:schemeClr val="lt1"/>
        </a:lnRef>
        <a:fillRef idx="1">
          <a:schemeClr val="accent1"/>
        </a:fillRef>
        <a:effectRef idx="1">
          <a:schemeClr val="accent1"/>
        </a:effectRef>
        <a:fontRef idx="minor"/>
      </xdr:style>
      <xdr:txBody>
        <a:bodyPr vertOverflow="clip" horzOverflow="clip" lIns="90000" tIns="45000" rIns="90000" bIns="45000" anchor="ctr">
          <a:noAutofit/>
        </a:bodyPr>
        <a:lstStyle/>
        <a:p>
          <a:pPr>
            <a:lnSpc>
              <a:spcPct val="100000"/>
            </a:lnSpc>
          </a:pPr>
          <a:r>
            <a:rPr lang="en-AU" sz="1100" b="0" u="none" strike="noStrike">
              <a:solidFill>
                <a:schemeClr val="lt1"/>
              </a:solidFill>
              <a:effectLst/>
              <a:uFillTx/>
              <a:latin typeface="Calibri"/>
            </a:rPr>
            <a:t>Hardcode</a:t>
          </a:r>
          <a:endParaRPr lang="en-IN" sz="1100" b="0" u="none" strike="noStrike">
            <a:effectLst/>
            <a:uFillTx/>
            <a:latin typeface="Times New Roman"/>
          </a:endParaRPr>
        </a:p>
      </xdr:txBody>
    </xdr:sp>
    <xdr:clientData/>
  </xdr:twoCellAnchor>
  <xdr:twoCellAnchor>
    <xdr:from>
      <xdr:col>83</xdr:col>
      <xdr:colOff>394560</xdr:colOff>
      <xdr:row>21</xdr:row>
      <xdr:rowOff>26280</xdr:rowOff>
    </xdr:from>
    <xdr:to>
      <xdr:col>84</xdr:col>
      <xdr:colOff>366840</xdr:colOff>
      <xdr:row>24</xdr:row>
      <xdr:rowOff>66960</xdr:rowOff>
    </xdr:to>
    <xdr:sp macro="[0]!update_ASX_factset" textlink="">
      <xdr:nvSpPr>
        <xdr:cNvPr id="26" name="Rectangle: Rounded Corners 4">
          <a:extLst>
            <a:ext uri="{FF2B5EF4-FFF2-40B4-BE49-F238E27FC236}">
              <a16:creationId xmlns:a16="http://schemas.microsoft.com/office/drawing/2014/main" id="{00000000-0008-0000-0200-00001A000000}"/>
            </a:ext>
          </a:extLst>
        </xdr:cNvPr>
        <xdr:cNvSpPr/>
      </xdr:nvSpPr>
      <xdr:spPr>
        <a:xfrm>
          <a:off x="72967320" y="4777200"/>
          <a:ext cx="898920" cy="623160"/>
        </a:xfrm>
        <a:prstGeom prst="roundRect">
          <a:avLst>
            <a:gd name="adj" fmla="val 16667"/>
          </a:avLst>
        </a:prstGeom>
        <a:solidFill>
          <a:srgbClr val="A5300F"/>
        </a:solidFill>
        <a:ln w="19050">
          <a:solidFill>
            <a:srgbClr val="FFFFFF"/>
          </a:solidFill>
          <a:miter/>
        </a:ln>
      </xdr:spPr>
      <xdr:style>
        <a:lnRef idx="3">
          <a:schemeClr val="lt1"/>
        </a:lnRef>
        <a:fillRef idx="1">
          <a:schemeClr val="accent1"/>
        </a:fillRef>
        <a:effectRef idx="1">
          <a:schemeClr val="accent1"/>
        </a:effectRef>
        <a:fontRef idx="minor"/>
      </xdr:style>
      <xdr:txBody>
        <a:bodyPr vertOverflow="clip" horzOverflow="clip" lIns="90000" tIns="45000" rIns="90000" bIns="45000" anchor="ctr">
          <a:noAutofit/>
        </a:bodyPr>
        <a:lstStyle/>
        <a:p>
          <a:pPr>
            <a:lnSpc>
              <a:spcPct val="100000"/>
            </a:lnSpc>
          </a:pPr>
          <a:r>
            <a:rPr lang="en-AU" sz="1100" b="0" u="none" strike="noStrike">
              <a:solidFill>
                <a:schemeClr val="lt1"/>
              </a:solidFill>
              <a:effectLst/>
              <a:uFillTx/>
              <a:latin typeface="Calibri"/>
            </a:rPr>
            <a:t>Factset Refresh</a:t>
          </a:r>
          <a:endParaRPr lang="en-IN" sz="1100" b="0" u="none" strike="noStrike">
            <a:effectLst/>
            <a:uFillTx/>
            <a:latin typeface="Times New Roman"/>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aserbeamptyltd.sharepoint.com/sites/LaserBeamCapital2/Shared%20Documents/Data/LBF%20Performance.xlsm" TargetMode="External"/><Relationship Id="rId1" Type="http://schemas.openxmlformats.org/officeDocument/2006/relationships/externalLinkPath" Target="LBF%20Performanc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laserbeamptyltd-my.sharepoint.com/personal/hayden_laserbeamcapital_com/Documents/LBF%20Model.xlsx" TargetMode="External"/><Relationship Id="rId1" Type="http://schemas.openxmlformats.org/officeDocument/2006/relationships/externalLinkPath" Target="https://laserbeamptyltd-my.sharepoint.com/personal/hayden_laserbeamcapital_com/Documents/LB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 New month"/>
      <sheetName val="Newsletter"/>
      <sheetName val="Performancedata"/>
      <sheetName val="Benchmarks"/>
      <sheetName val="WinLoss"/>
      <sheetName val="IB Oct"/>
      <sheetName val="Performance"/>
      <sheetName val="Holdings"/>
      <sheetName val="Stats"/>
      <sheetName val="TheFund"/>
      <sheetName val="Exposure"/>
      <sheetName val="Text"/>
    </sheetNames>
    <sheetDataSet>
      <sheetData sheetId="0"/>
      <sheetData sheetId="1"/>
      <sheetData sheetId="2"/>
      <sheetData sheetId="3">
        <row r="3">
          <cell r="C3">
            <v>425.45</v>
          </cell>
        </row>
        <row r="4">
          <cell r="C4">
            <v>438.94</v>
          </cell>
        </row>
        <row r="5">
          <cell r="C5">
            <v>442.46</v>
          </cell>
        </row>
        <row r="6">
          <cell r="C6">
            <v>452.79</v>
          </cell>
        </row>
        <row r="7">
          <cell r="C7">
            <v>468.65</v>
          </cell>
        </row>
        <row r="8">
          <cell r="C8">
            <v>467.77</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ly"/>
      <sheetName val="Portfolio"/>
      <sheetName val="Nov Perf"/>
      <sheetName val="inception perf"/>
      <sheetName val="Admin Fee"/>
      <sheetName val="Quote Comparisons"/>
    </sheetNames>
    <sheetDataSet>
      <sheetData sheetId="0">
        <row r="41">
          <cell r="G41">
            <v>1.1200237411717677</v>
          </cell>
          <cell r="H41">
            <v>1.1169995713674072</v>
          </cell>
        </row>
      </sheetData>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etPerformanceTable" displayName="NetPerformanceTable" ref="D1:E5" totalsRowShown="0">
  <autoFilter ref="D1:E5" xr:uid="{00000000-0009-0000-0100-000001000000}"/>
  <tableColumns count="2">
    <tableColumn id="1" xr3:uid="{00000000-0010-0000-0000-000001000000}" name="label"/>
    <tableColumn id="2" xr3:uid="{00000000-0010-0000-0000-000002000000}" name="valu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B7" totalsRowShown="0">
  <autoFilter ref="A1:B7" xr:uid="{00000000-0009-0000-0100-000002000000}"/>
  <tableColumns count="2">
    <tableColumn id="1" xr3:uid="{00000000-0010-0000-0100-000001000000}" name="Month"/>
    <tableColumn id="2" xr3:uid="{00000000-0010-0000-0100-000002000000}" name="CumulativeRetur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opHoldingsTable" displayName="TopHoldingsTable" ref="A1:M12" totalsRowShown="0">
  <autoFilter ref="A1:M12" xr:uid="{00000000-0009-0000-0100-000009000000}"/>
  <tableColumns count="13">
    <tableColumn id="1" xr3:uid="{00000000-0010-0000-0200-000001000000}" name="TopHoldingsTable"/>
    <tableColumn id="2" xr3:uid="{00000000-0010-0000-0200-000002000000}" name="Weight"/>
    <tableColumn id="3" xr3:uid="{00000000-0010-0000-0200-000003000000}" name="Rank"/>
    <tableColumn id="4" xr3:uid="{00000000-0010-0000-0200-000004000000}" name="Column1"/>
    <tableColumn id="5" xr3:uid="{00000000-0010-0000-0200-000005000000}" name="Column2"/>
    <tableColumn id="6" xr3:uid="{00000000-0010-0000-0200-000006000000}" name="Column3"/>
    <tableColumn id="7" xr3:uid="{00000000-0010-0000-0200-000007000000}" name="Column4"/>
    <tableColumn id="8" xr3:uid="{00000000-0010-0000-0200-000008000000}" name="Column5"/>
    <tableColumn id="9" xr3:uid="{00000000-0010-0000-0200-000009000000}" name="Column6"/>
    <tableColumn id="10" xr3:uid="{00000000-0010-0000-0200-00000A000000}" name="Column7"/>
    <tableColumn id="11" xr3:uid="{00000000-0010-0000-0200-00000B000000}" name="Column8"/>
    <tableColumn id="12" xr3:uid="{00000000-0010-0000-0200-00000C000000}" name="Column9"/>
    <tableColumn id="13" xr3:uid="{00000000-0010-0000-0200-00000D000000}" name="Column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 displayName="Table4" ref="A1:D11" totalsRowShown="0">
  <autoFilter ref="A1:D11" xr:uid="{00000000-0009-0000-0100-000003000000}"/>
  <tableColumns count="4">
    <tableColumn id="1" xr3:uid="{00000000-0010-0000-0300-000001000000}" name="key"/>
    <tableColumn id="2" xr3:uid="{00000000-0010-0000-0300-000002000000}" name="value"/>
    <tableColumn id="3" xr3:uid="{00000000-0010-0000-0300-000003000000}" name="Column1"/>
    <tableColumn id="4" xr3:uid="{00000000-0010-0000-0300-000004000000}" name="Column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5" displayName="Table5" ref="A1:B10" totalsRowShown="0">
  <autoFilter ref="A1:B10" xr:uid="{00000000-0009-0000-0100-000004000000}"/>
  <tableColumns count="2">
    <tableColumn id="1" xr3:uid="{00000000-0010-0000-0400-000001000000}" name="key"/>
    <tableColumn id="2" xr3:uid="{00000000-0010-0000-0400-000002000000}" name="valu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A1:B4" totalsRowShown="0">
  <autoFilter ref="A1:B4" xr:uid="{00000000-0009-0000-0100-000005000000}"/>
  <tableColumns count="2">
    <tableColumn id="1" xr3:uid="{00000000-0010-0000-0500-000001000000}" name="key"/>
    <tableColumn id="2" xr3:uid="{00000000-0010-0000-0500-000002000000}" name="valu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D1:E10" totalsRowShown="0">
  <autoFilter ref="D1:E10" xr:uid="{00000000-0009-0000-0100-000006000000}"/>
  <sortState xmlns:xlrd2="http://schemas.microsoft.com/office/spreadsheetml/2017/richdata2" ref="D2:E10">
    <sortCondition descending="1" ref="E2:E10"/>
  </sortState>
  <tableColumns count="2">
    <tableColumn id="1" xr3:uid="{00000000-0010-0000-0600-000001000000}" name="name"/>
    <tableColumn id="2" xr3:uid="{00000000-0010-0000-0600-000002000000}" name="value"/>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e8" displayName="Table8" ref="G1:I6" totalsRowShown="0">
  <autoFilter ref="G1:I6" xr:uid="{00000000-0009-0000-0100-000007000000}"/>
  <tableColumns count="3">
    <tableColumn id="1" xr3:uid="{00000000-0010-0000-0700-000001000000}" name="name"/>
    <tableColumn id="2" xr3:uid="{00000000-0010-0000-0700-000002000000}" name="value"/>
    <tableColumn id="3" xr3:uid="{00000000-0010-0000-0700-000003000000}" name="label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e9" displayName="Table9" ref="A1:B5" totalsRowShown="0">
  <autoFilter ref="A1:B5" xr:uid="{00000000-0009-0000-0100-000008000000}"/>
  <tableColumns count="2">
    <tableColumn id="1" xr3:uid="{00000000-0010-0000-0800-000001000000}" name="key"/>
    <tableColumn id="2" xr3:uid="{00000000-0010-0000-0800-000002000000}" name="text"/>
  </tableColumns>
  <tableStyleInfo showFirstColumn="0" showLastColumn="0" showRowStripes="1" showColumnStripes="0"/>
</table>
</file>

<file path=xl/theme/theme1.xml><?xml version="1.0" encoding="utf-8"?>
<a:theme xmlns:a="http://schemas.openxmlformats.org/drawingml/2006/main" name="Office Theme">
  <a:themeElements>
    <a:clrScheme name="Red">
      <a:dk1>
        <a:srgbClr val="000000"/>
      </a:dk1>
      <a:lt1>
        <a:srgbClr val="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0"/>
  <sheetViews>
    <sheetView zoomScaleNormal="100" workbookViewId="0"/>
  </sheetViews>
  <sheetFormatPr defaultColWidth="3.54296875" defaultRowHeight="14.25" customHeight="1"/>
  <cols>
    <col min="1" max="1" width="3.54296875" style="5"/>
    <col min="2" max="2" width="70.453125" style="5" customWidth="1"/>
    <col min="3" max="16384" width="3.54296875" style="5"/>
  </cols>
  <sheetData>
    <row r="2" spans="2:2">
      <c r="B2" s="6" t="s">
        <v>0</v>
      </c>
    </row>
    <row r="3" spans="2:2">
      <c r="B3" s="5" t="s">
        <v>1</v>
      </c>
    </row>
    <row r="4" spans="2:2">
      <c r="B4" s="6" t="s">
        <v>2</v>
      </c>
    </row>
    <row r="5" spans="2:2">
      <c r="B5" s="6" t="s">
        <v>3</v>
      </c>
    </row>
    <row r="6" spans="2:2">
      <c r="B6" s="6" t="s">
        <v>4</v>
      </c>
    </row>
    <row r="7" spans="2:2">
      <c r="B7" s="7" t="s">
        <v>5</v>
      </c>
    </row>
    <row r="8" spans="2:2">
      <c r="B8" s="6" t="s">
        <v>6</v>
      </c>
    </row>
    <row r="9" spans="2:2">
      <c r="B9" s="6" t="s">
        <v>7</v>
      </c>
    </row>
    <row r="10" spans="2:2">
      <c r="B10" s="6" t="s">
        <v>8</v>
      </c>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G137"/>
  <sheetViews>
    <sheetView zoomScale="55" zoomScaleNormal="55" workbookViewId="0">
      <selection activeCell="N19" sqref="N19"/>
    </sheetView>
  </sheetViews>
  <sheetFormatPr defaultColWidth="8.54296875" defaultRowHeight="13.5" customHeight="1"/>
  <cols>
    <col min="1" max="1" width="11.36328125" style="8" bestFit="1" customWidth="1"/>
    <col min="2" max="2" width="4.54296875" style="9" customWidth="1"/>
    <col min="3" max="3" width="1.54296875" style="8" customWidth="1"/>
    <col min="4" max="13" width="12.26953125" style="9" customWidth="1"/>
    <col min="14" max="15" width="12.26953125" style="8" customWidth="1"/>
    <col min="16" max="16" width="8.54296875" style="8"/>
    <col min="17" max="17" width="11" style="8" customWidth="1"/>
    <col min="18" max="20" width="8.54296875" style="8"/>
    <col min="21" max="21" width="5.08984375" style="8" customWidth="1"/>
    <col min="22" max="26" width="8.54296875" style="8"/>
    <col min="27" max="27" width="7.54296875" style="8" customWidth="1"/>
    <col min="28" max="28" width="11" style="8" customWidth="1"/>
    <col min="29" max="31" width="8.54296875" style="8"/>
    <col min="32" max="32" width="8.81640625" style="8" customWidth="1"/>
    <col min="33" max="16384" width="8.54296875" style="8"/>
  </cols>
  <sheetData>
    <row r="2" spans="1:1" ht="13.5" customHeight="1">
      <c r="A2" s="130">
        <v>45961</v>
      </c>
    </row>
    <row r="8" spans="1:1" ht="32.25" customHeight="1"/>
    <row r="9" spans="1:1" ht="28.5" customHeight="1"/>
    <row r="10" spans="1:1" ht="18" customHeight="1"/>
    <row r="11" spans="1:1" ht="18" customHeight="1"/>
    <row r="12" spans="1:1" ht="10.5" customHeight="1"/>
    <row r="13" spans="1:1" ht="10.5" customHeight="1"/>
    <row r="14" spans="1:1" ht="10.5" customHeight="1"/>
    <row r="15" spans="1:1" ht="10.5" customHeight="1"/>
    <row r="16" spans="1:1" ht="6" customHeight="1"/>
    <row r="17" spans="2:15" ht="39.75" customHeight="1">
      <c r="D17" s="166" t="s">
        <v>9</v>
      </c>
      <c r="E17" s="166"/>
      <c r="F17" s="166"/>
      <c r="G17" s="10"/>
      <c r="H17" s="4" t="s">
        <v>10</v>
      </c>
      <c r="I17" s="10"/>
      <c r="J17" s="4" t="s">
        <v>11</v>
      </c>
      <c r="K17" s="4"/>
      <c r="L17" s="4" t="s">
        <v>246</v>
      </c>
      <c r="M17" s="4"/>
      <c r="N17" s="4" t="s">
        <v>12</v>
      </c>
      <c r="O17" s="4"/>
    </row>
    <row r="18" spans="2:15" ht="40.5" customHeight="1">
      <c r="B18" s="11"/>
      <c r="D18" s="167" t="s">
        <v>13</v>
      </c>
      <c r="E18" s="167"/>
      <c r="F18" s="167"/>
      <c r="G18" s="12"/>
      <c r="H18" s="3">
        <f>INDEX(Performancedata!C:C, MATCH(A2, Performancedata!A:A, 0))</f>
        <v>3.1903324843437497E-2</v>
      </c>
      <c r="I18" s="3"/>
      <c r="J18" s="3">
        <f>INDEX(Performancedata!E:E, MATCH(A2, Performancedata!A:A, 0))</f>
        <v>9.1003059781577633E-2</v>
      </c>
      <c r="K18" s="3"/>
      <c r="L18" s="3">
        <f>INDEX(Performancedata!F:F, MATCH(A2, Performancedata!A:A, 0))</f>
        <v>0.12002374117176751</v>
      </c>
      <c r="M18" s="3"/>
      <c r="N18" s="3">
        <f>INDEX(Performancedata!H:H, MATCH(A2, Performancedata!A:A, 0))</f>
        <v>0.40371255294551722</v>
      </c>
      <c r="O18" s="13"/>
    </row>
    <row r="19" spans="2:15" ht="28.5" customHeight="1">
      <c r="B19" s="14"/>
      <c r="C19" s="15"/>
      <c r="D19" s="14"/>
      <c r="E19" s="14"/>
      <c r="F19" s="14"/>
      <c r="G19" s="14"/>
      <c r="H19" s="14"/>
      <c r="I19" s="14"/>
      <c r="J19" s="14"/>
      <c r="K19" s="14"/>
      <c r="L19" s="14"/>
      <c r="M19" s="14"/>
      <c r="N19" s="16"/>
    </row>
    <row r="20" spans="2:15" ht="14"/>
    <row r="21" spans="2:15" ht="14"/>
    <row r="22" spans="2:15" ht="14"/>
    <row r="23" spans="2:15" ht="14"/>
    <row r="24" spans="2:15" ht="14"/>
    <row r="25" spans="2:15" ht="14"/>
    <row r="26" spans="2:15" ht="14"/>
    <row r="27" spans="2:15" ht="14"/>
    <row r="28" spans="2:15" ht="14"/>
    <row r="29" spans="2:15" ht="14"/>
    <row r="30" spans="2:15" ht="14"/>
    <row r="31" spans="2:15" ht="14"/>
    <row r="32" spans="2:15" ht="14"/>
    <row r="33" spans="4:19" ht="14"/>
    <row r="34" spans="4:19" ht="14"/>
    <row r="35" spans="4:19" ht="14"/>
    <row r="36" spans="4:19" ht="14"/>
    <row r="37" spans="4:19" ht="14"/>
    <row r="38" spans="4:19" ht="14"/>
    <row r="39" spans="4:19" ht="14"/>
    <row r="40" spans="4:19" ht="14"/>
    <row r="41" spans="4:19" ht="14"/>
    <row r="42" spans="4:19" ht="14"/>
    <row r="43" spans="4:19" ht="20.25" customHeight="1">
      <c r="D43" s="17" t="s">
        <v>14</v>
      </c>
      <c r="E43" s="17"/>
      <c r="F43" s="17"/>
      <c r="G43" s="17"/>
      <c r="H43" s="17"/>
      <c r="I43" s="17"/>
      <c r="J43" s="17"/>
      <c r="K43" s="17"/>
      <c r="L43" s="17"/>
      <c r="M43" s="17"/>
    </row>
    <row r="44" spans="4:19" ht="20.25" customHeight="1">
      <c r="D44" s="18" t="s">
        <v>15</v>
      </c>
      <c r="E44" s="18"/>
      <c r="F44" s="18"/>
      <c r="G44" s="8"/>
      <c r="H44" s="8"/>
      <c r="I44" s="19"/>
      <c r="J44" s="8"/>
      <c r="K44" s="8"/>
      <c r="L44" s="8"/>
      <c r="M44" s="20"/>
    </row>
    <row r="45" spans="4:19" ht="20.25" customHeight="1">
      <c r="D45" s="18"/>
      <c r="E45" s="18"/>
      <c r="F45" s="18"/>
      <c r="I45" s="21"/>
      <c r="M45" s="20"/>
      <c r="N45" s="22"/>
      <c r="S45" s="9"/>
    </row>
    <row r="46" spans="4:19" ht="20.25" customHeight="1">
      <c r="D46" s="18"/>
      <c r="E46" s="18"/>
      <c r="F46" s="18"/>
      <c r="I46" s="21"/>
      <c r="M46" s="20"/>
    </row>
    <row r="47" spans="4:19" ht="20.25" customHeight="1">
      <c r="D47" s="18"/>
      <c r="E47" s="18"/>
      <c r="F47" s="18"/>
      <c r="I47" s="23"/>
      <c r="J47" s="24"/>
      <c r="K47" s="24"/>
      <c r="M47" s="20"/>
    </row>
    <row r="48" spans="4:19" ht="20.25" customHeight="1">
      <c r="D48" s="18"/>
      <c r="E48" s="18"/>
      <c r="F48" s="18"/>
      <c r="I48" s="23"/>
      <c r="J48" s="24"/>
      <c r="K48" s="24"/>
      <c r="M48" s="20"/>
    </row>
    <row r="49" spans="2:24" ht="20.25" customHeight="1">
      <c r="D49" s="24"/>
      <c r="E49" s="24"/>
      <c r="F49" s="24"/>
      <c r="G49" s="25"/>
      <c r="I49" s="26"/>
      <c r="J49" s="24"/>
      <c r="K49" s="24"/>
      <c r="L49" s="24"/>
    </row>
    <row r="50" spans="2:24" ht="20.25" customHeight="1">
      <c r="D50" s="24"/>
      <c r="E50" s="24"/>
      <c r="F50" s="24"/>
      <c r="G50" s="27"/>
      <c r="H50" s="28"/>
      <c r="I50" s="24"/>
      <c r="J50" s="24"/>
      <c r="K50" s="27"/>
      <c r="L50" s="24"/>
      <c r="S50" s="29"/>
    </row>
    <row r="51" spans="2:24" ht="20.25" customHeight="1">
      <c r="H51" s="8"/>
      <c r="S51" s="18"/>
    </row>
    <row r="52" spans="2:24" ht="20.25" customHeight="1">
      <c r="H52" s="8"/>
      <c r="S52" s="18"/>
    </row>
    <row r="53" spans="2:24" ht="20.25" customHeight="1">
      <c r="S53" s="18"/>
    </row>
    <row r="54" spans="2:24" ht="20.25" customHeight="1">
      <c r="S54" s="18"/>
    </row>
    <row r="55" spans="2:24" ht="20.25" customHeight="1">
      <c r="B55" s="2"/>
      <c r="C55" s="2"/>
      <c r="D55" s="30"/>
      <c r="E55" s="31"/>
      <c r="F55" s="31"/>
      <c r="G55" s="2"/>
      <c r="H55" s="2"/>
      <c r="I55" s="31"/>
      <c r="J55" s="32"/>
      <c r="K55" s="8"/>
      <c r="L55" s="2"/>
      <c r="M55" s="2"/>
      <c r="N55" s="31"/>
      <c r="O55" s="33"/>
      <c r="P55" s="34"/>
      <c r="S55" s="18"/>
    </row>
    <row r="56" spans="2:24" ht="20.25" customHeight="1">
      <c r="B56" s="2"/>
      <c r="C56" s="2"/>
      <c r="D56" s="30"/>
      <c r="E56" s="31"/>
      <c r="F56" s="31"/>
      <c r="G56" s="2"/>
      <c r="H56" s="35"/>
      <c r="I56" s="31"/>
      <c r="J56" s="32"/>
      <c r="K56" s="8"/>
      <c r="L56" s="2"/>
      <c r="M56" s="35"/>
      <c r="N56" s="31"/>
      <c r="O56" s="36"/>
      <c r="S56" s="18"/>
    </row>
    <row r="57" spans="2:24" ht="22.5" customHeight="1">
      <c r="B57" s="2"/>
      <c r="C57" s="2"/>
      <c r="D57" s="30"/>
      <c r="E57" s="31"/>
      <c r="F57" s="31"/>
      <c r="G57" s="2"/>
      <c r="H57" s="35"/>
      <c r="I57" s="31"/>
      <c r="J57" s="37"/>
      <c r="K57" s="8"/>
      <c r="L57" s="2"/>
      <c r="M57" s="35"/>
      <c r="N57" s="31"/>
      <c r="O57" s="38"/>
      <c r="S57" s="18"/>
    </row>
    <row r="58" spans="2:24" ht="20.25" customHeight="1">
      <c r="B58" s="8"/>
      <c r="D58" s="8"/>
      <c r="E58" s="8"/>
      <c r="F58" s="8"/>
      <c r="G58" s="2"/>
      <c r="H58" s="35"/>
      <c r="I58" s="31"/>
      <c r="J58" s="33"/>
      <c r="K58" s="8"/>
      <c r="L58" s="2"/>
      <c r="M58" s="35"/>
      <c r="N58" s="31"/>
      <c r="O58" s="33"/>
      <c r="S58" s="39"/>
    </row>
    <row r="59" spans="2:24" ht="32.25" customHeight="1">
      <c r="B59" s="40"/>
      <c r="C59" s="17"/>
      <c r="D59" s="166"/>
      <c r="E59" s="166"/>
      <c r="F59" s="166"/>
      <c r="G59" s="166"/>
      <c r="H59" s="166"/>
      <c r="I59" s="166"/>
      <c r="J59" s="17"/>
      <c r="K59" s="166"/>
      <c r="L59" s="166"/>
      <c r="M59" s="166"/>
      <c r="N59" s="166"/>
      <c r="O59" s="10"/>
    </row>
    <row r="60" spans="2:24" ht="20.25" customHeight="1">
      <c r="B60" s="40"/>
      <c r="C60" s="40"/>
      <c r="D60" s="31"/>
      <c r="E60" s="41"/>
      <c r="F60" s="31"/>
      <c r="G60" s="2"/>
      <c r="H60" s="31"/>
      <c r="I60" s="31"/>
      <c r="J60" s="42"/>
      <c r="K60" s="8"/>
      <c r="L60" s="2"/>
      <c r="M60" s="31"/>
      <c r="N60" s="31"/>
      <c r="O60" s="43"/>
    </row>
    <row r="62" spans="2:24" ht="19">
      <c r="D62" s="27"/>
      <c r="E62" s="27"/>
      <c r="F62" s="27"/>
      <c r="G62" s="27"/>
      <c r="H62" s="27"/>
      <c r="I62" s="27"/>
      <c r="J62" s="27"/>
      <c r="K62" s="27"/>
      <c r="L62" s="27"/>
      <c r="M62" s="27"/>
      <c r="N62" s="27"/>
      <c r="O62" s="34"/>
    </row>
    <row r="63" spans="2:24" ht="19">
      <c r="D63" s="27"/>
      <c r="E63" s="27"/>
      <c r="F63" s="27"/>
      <c r="G63" s="27"/>
      <c r="H63" s="27"/>
      <c r="I63" s="27"/>
      <c r="J63" s="27"/>
      <c r="K63" s="27"/>
      <c r="L63" s="27"/>
      <c r="M63" s="27"/>
      <c r="N63" s="27"/>
      <c r="O63" s="34"/>
      <c r="X63" s="9"/>
    </row>
    <row r="64" spans="2:24" ht="19">
      <c r="D64" s="27"/>
      <c r="E64" s="27"/>
      <c r="F64" s="27"/>
      <c r="G64" s="27"/>
      <c r="H64" s="27"/>
      <c r="I64" s="27"/>
      <c r="J64" s="27"/>
      <c r="K64" s="27"/>
      <c r="L64" s="27"/>
      <c r="M64" s="27"/>
      <c r="N64" s="27"/>
      <c r="O64" s="34"/>
    </row>
    <row r="65" spans="4:15" ht="19">
      <c r="D65" s="27"/>
      <c r="E65" s="27"/>
      <c r="F65" s="27"/>
      <c r="G65" s="27"/>
      <c r="H65" s="27"/>
      <c r="I65" s="27"/>
      <c r="J65" s="27"/>
      <c r="K65" s="27"/>
      <c r="L65" s="27"/>
      <c r="M65" s="27"/>
      <c r="N65" s="27"/>
      <c r="O65" s="34"/>
    </row>
    <row r="66" spans="4:15" ht="19">
      <c r="D66" s="27"/>
      <c r="E66" s="27"/>
      <c r="F66" s="27"/>
      <c r="G66" s="27"/>
      <c r="H66" s="27"/>
      <c r="I66" s="27"/>
      <c r="J66" s="27"/>
      <c r="K66" s="27"/>
      <c r="L66" s="27"/>
      <c r="M66" s="27"/>
      <c r="N66" s="27"/>
      <c r="O66" s="34"/>
    </row>
    <row r="67" spans="4:15" ht="15.5">
      <c r="D67" s="24"/>
      <c r="E67" s="24"/>
      <c r="F67" s="24"/>
      <c r="G67" s="15"/>
      <c r="H67" s="15"/>
      <c r="I67" s="24"/>
      <c r="J67" s="15"/>
      <c r="K67" s="15"/>
      <c r="L67" s="24"/>
    </row>
    <row r="68" spans="4:15" ht="15.5">
      <c r="D68" s="24"/>
      <c r="E68" s="24"/>
      <c r="F68" s="24"/>
      <c r="G68" s="15"/>
      <c r="H68" s="15"/>
      <c r="I68" s="24"/>
      <c r="J68" s="8"/>
      <c r="K68" s="15"/>
      <c r="L68" s="24"/>
    </row>
    <row r="69" spans="4:15" ht="17.5">
      <c r="J69" s="44"/>
      <c r="K69" s="44"/>
    </row>
    <row r="70" spans="4:15" ht="17.5">
      <c r="J70" s="44"/>
      <c r="K70" s="44"/>
    </row>
    <row r="71" spans="4:15" ht="14"/>
    <row r="72" spans="4:15" ht="14"/>
    <row r="73" spans="4:15" ht="14"/>
    <row r="74" spans="4:15" ht="14"/>
    <row r="75" spans="4:15" ht="14"/>
    <row r="76" spans="4:15" ht="14"/>
    <row r="77" spans="4:15" ht="14"/>
    <row r="78" spans="4:15" ht="14"/>
    <row r="79" spans="4:15" ht="14"/>
    <row r="80" spans="4:15" ht="14"/>
    <row r="81" ht="14"/>
    <row r="82" ht="14"/>
    <row r="83" ht="14"/>
    <row r="84" ht="14"/>
    <row r="85" ht="14"/>
    <row r="86" ht="14"/>
    <row r="87" ht="14"/>
    <row r="88" ht="14"/>
    <row r="89" ht="14"/>
    <row r="90" ht="14"/>
    <row r="91" ht="14"/>
    <row r="92" ht="14"/>
    <row r="93" ht="14"/>
    <row r="94" ht="14"/>
    <row r="95" ht="14"/>
    <row r="96" ht="14"/>
    <row r="97" spans="19:32" ht="14"/>
    <row r="98" spans="19:32" ht="14"/>
    <row r="99" spans="19:32" ht="14"/>
    <row r="100" spans="19:32" ht="14"/>
    <row r="101" spans="19:32" ht="14"/>
    <row r="102" spans="19:32" ht="14"/>
    <row r="103" spans="19:32" ht="14.25" customHeight="1"/>
    <row r="105" spans="19:32" ht="15" customHeight="1"/>
    <row r="111" spans="19:32" ht="26.25" customHeight="1">
      <c r="S111" s="10" t="s">
        <v>14</v>
      </c>
      <c r="T111" s="10"/>
      <c r="U111" s="10"/>
      <c r="V111" s="10"/>
      <c r="W111" s="10"/>
      <c r="X111" s="10" t="s">
        <v>16</v>
      </c>
      <c r="Y111" s="10"/>
      <c r="Z111" s="10"/>
      <c r="AA111" s="10"/>
      <c r="AB111" s="10"/>
      <c r="AC111" s="10" t="s">
        <v>17</v>
      </c>
      <c r="AD111" s="10"/>
      <c r="AE111" s="10"/>
      <c r="AF111" s="10"/>
    </row>
    <row r="112" spans="19:32" ht="27.75" customHeight="1">
      <c r="S112" s="168" t="s">
        <v>18</v>
      </c>
      <c r="T112" s="168"/>
      <c r="U112" s="30"/>
      <c r="V112" s="31"/>
      <c r="W112" s="31"/>
      <c r="X112" s="168" t="s">
        <v>18</v>
      </c>
      <c r="Y112" s="168"/>
      <c r="Z112" s="31"/>
      <c r="AA112" s="31"/>
      <c r="AB112" s="31"/>
      <c r="AC112" s="168" t="s">
        <v>19</v>
      </c>
      <c r="AD112" s="168"/>
      <c r="AE112" s="31"/>
      <c r="AF112" s="33" t="s">
        <v>20</v>
      </c>
    </row>
    <row r="113" spans="19:33" ht="18.75" customHeight="1">
      <c r="S113" s="168" t="s">
        <v>18</v>
      </c>
      <c r="T113" s="168"/>
      <c r="U113" s="30"/>
      <c r="V113" s="31"/>
      <c r="W113" s="31"/>
      <c r="X113" s="168" t="s">
        <v>18</v>
      </c>
      <c r="Y113" s="168"/>
      <c r="Z113" s="31"/>
      <c r="AA113" s="31"/>
      <c r="AB113" s="31"/>
      <c r="AC113" s="2" t="s">
        <v>21</v>
      </c>
      <c r="AD113" s="35"/>
      <c r="AE113" s="31"/>
      <c r="AF113" s="36" t="s">
        <v>22</v>
      </c>
    </row>
    <row r="114" spans="19:33" ht="18.75" customHeight="1">
      <c r="S114" s="168" t="s">
        <v>18</v>
      </c>
      <c r="T114" s="168"/>
      <c r="U114" s="30"/>
      <c r="V114" s="31"/>
      <c r="W114" s="31"/>
      <c r="X114" s="168" t="s">
        <v>18</v>
      </c>
      <c r="Y114" s="168"/>
      <c r="Z114" s="31"/>
      <c r="AA114" s="31"/>
      <c r="AB114" s="31"/>
      <c r="AC114" s="2" t="s">
        <v>23</v>
      </c>
      <c r="AD114" s="35"/>
      <c r="AE114" s="31"/>
      <c r="AF114" s="38" t="s">
        <v>24</v>
      </c>
    </row>
    <row r="115" spans="19:33" ht="21.75" customHeight="1">
      <c r="S115" s="168" t="s">
        <v>18</v>
      </c>
      <c r="T115" s="168"/>
      <c r="U115" s="45"/>
      <c r="V115" s="46"/>
      <c r="W115" s="46"/>
      <c r="X115" s="168" t="s">
        <v>18</v>
      </c>
      <c r="Y115" s="168"/>
      <c r="Z115" s="46"/>
      <c r="AA115" s="47"/>
      <c r="AB115" s="46"/>
      <c r="AC115" s="2" t="s">
        <v>25</v>
      </c>
      <c r="AD115" s="35"/>
      <c r="AE115" s="31"/>
      <c r="AF115" s="33" t="s">
        <v>26</v>
      </c>
      <c r="AG115" s="48"/>
    </row>
    <row r="116" spans="19:33" ht="21" customHeight="1">
      <c r="AC116" s="2" t="s">
        <v>27</v>
      </c>
      <c r="AD116" s="35"/>
      <c r="AE116" s="31"/>
      <c r="AF116" s="33">
        <v>0.01</v>
      </c>
      <c r="AG116" s="48"/>
    </row>
    <row r="117" spans="19:33" ht="19.5" customHeight="1">
      <c r="S117" s="10" t="s">
        <v>28</v>
      </c>
      <c r="T117" s="10"/>
      <c r="U117" s="10"/>
      <c r="V117" s="10"/>
      <c r="W117" s="10"/>
      <c r="X117" s="10" t="s">
        <v>29</v>
      </c>
      <c r="Y117" s="10"/>
      <c r="Z117" s="10"/>
      <c r="AA117" s="10"/>
      <c r="AB117" s="10"/>
      <c r="AC117" s="2" t="s">
        <v>30</v>
      </c>
      <c r="AD117" s="35"/>
      <c r="AE117" s="31"/>
      <c r="AF117" s="33">
        <v>0.2</v>
      </c>
      <c r="AG117" s="48"/>
    </row>
    <row r="118" spans="19:33" ht="19.5" customHeight="1">
      <c r="S118" s="40" t="s">
        <v>31</v>
      </c>
      <c r="T118" s="40"/>
      <c r="U118" s="31"/>
      <c r="V118" s="33">
        <f>5916039/15000000</f>
        <v>0.39440259999999999</v>
      </c>
      <c r="W118" s="31"/>
      <c r="X118" s="2" t="s">
        <v>18</v>
      </c>
      <c r="Y118" s="2"/>
      <c r="Z118" s="49"/>
      <c r="AA118" s="50"/>
      <c r="AB118" s="31"/>
      <c r="AC118" s="2" t="s">
        <v>32</v>
      </c>
      <c r="AD118" s="31"/>
      <c r="AE118" s="31"/>
      <c r="AF118" s="43" t="s">
        <v>33</v>
      </c>
      <c r="AG118" s="48"/>
    </row>
    <row r="119" spans="19:33" ht="19.5" customHeight="1">
      <c r="S119" s="40" t="s">
        <v>34</v>
      </c>
      <c r="T119" s="40"/>
      <c r="U119" s="31"/>
      <c r="V119" s="41">
        <v>-0.16</v>
      </c>
      <c r="W119" s="31"/>
      <c r="X119" s="2" t="s">
        <v>18</v>
      </c>
      <c r="Y119" s="2"/>
      <c r="Z119" s="50"/>
      <c r="AA119" s="50"/>
      <c r="AB119" s="31"/>
      <c r="AC119" s="2" t="s">
        <v>35</v>
      </c>
      <c r="AD119" s="35"/>
      <c r="AE119" s="31"/>
      <c r="AF119" s="51" t="s">
        <v>36</v>
      </c>
      <c r="AG119" s="48"/>
    </row>
    <row r="120" spans="19:33" ht="20.25" customHeight="1">
      <c r="S120" s="40" t="s">
        <v>28</v>
      </c>
      <c r="T120" s="40"/>
      <c r="U120" s="31"/>
      <c r="V120" s="41">
        <f>V118+V119</f>
        <v>0.23440259999999999</v>
      </c>
      <c r="W120" s="31"/>
      <c r="X120" s="2" t="s">
        <v>18</v>
      </c>
      <c r="Y120" s="2"/>
      <c r="Z120" s="50"/>
      <c r="AA120" s="50"/>
      <c r="AB120" s="31"/>
      <c r="AC120" s="2" t="s">
        <v>37</v>
      </c>
      <c r="AD120" s="31"/>
      <c r="AE120" s="31"/>
      <c r="AF120" s="43" t="s">
        <v>38</v>
      </c>
      <c r="AG120" s="48"/>
    </row>
    <row r="121" spans="19:33" ht="14">
      <c r="S121" s="9"/>
      <c r="T121" s="9"/>
      <c r="U121" s="52"/>
      <c r="V121" s="48"/>
      <c r="W121" s="48"/>
      <c r="Y121" s="52"/>
      <c r="Z121" s="52"/>
      <c r="AA121" s="52"/>
      <c r="AD121" s="9"/>
      <c r="AE121" s="9"/>
      <c r="AF121" s="9"/>
    </row>
    <row r="122" spans="19:33" ht="14">
      <c r="S122" s="9"/>
      <c r="T122" s="9"/>
      <c r="U122" s="52"/>
      <c r="V122" s="48"/>
      <c r="W122" s="52"/>
      <c r="X122" s="52"/>
      <c r="Y122" s="52"/>
      <c r="Z122" s="52"/>
      <c r="AA122" s="48"/>
    </row>
    <row r="123" spans="19:33" ht="14">
      <c r="U123" s="48"/>
      <c r="V123" s="48"/>
      <c r="W123" s="48"/>
      <c r="X123" s="48"/>
      <c r="Y123" s="48"/>
      <c r="Z123" s="48"/>
      <c r="AA123" s="48"/>
    </row>
    <row r="124" spans="19:33" ht="14">
      <c r="U124" s="48"/>
      <c r="V124" s="48"/>
      <c r="W124" s="48"/>
      <c r="X124" s="48"/>
      <c r="Y124" s="48"/>
      <c r="Z124" s="48"/>
      <c r="AA124" s="48"/>
      <c r="AE124" s="53"/>
    </row>
    <row r="125" spans="19:33" ht="26.5">
      <c r="S125" s="166" t="s">
        <v>14</v>
      </c>
      <c r="T125" s="166"/>
      <c r="U125" s="166"/>
      <c r="V125" s="166"/>
      <c r="W125" s="31"/>
      <c r="X125" s="166" t="s">
        <v>39</v>
      </c>
      <c r="Y125" s="166"/>
      <c r="Z125" s="166"/>
      <c r="AA125" s="166"/>
      <c r="AC125" s="166" t="s">
        <v>17</v>
      </c>
      <c r="AD125" s="166"/>
      <c r="AE125" s="166"/>
      <c r="AF125" s="166"/>
    </row>
    <row r="126" spans="19:33" ht="24">
      <c r="S126" s="2" t="s">
        <v>40</v>
      </c>
      <c r="T126" s="2"/>
      <c r="U126" s="30"/>
      <c r="V126" s="33">
        <v>0.1</v>
      </c>
      <c r="W126" s="31"/>
      <c r="X126" s="2" t="s">
        <v>41</v>
      </c>
      <c r="Y126" s="2"/>
      <c r="Z126" s="31"/>
      <c r="AA126" s="32">
        <v>3.0806065751749899E-2</v>
      </c>
      <c r="AC126" s="2" t="s">
        <v>19</v>
      </c>
      <c r="AD126" s="2"/>
      <c r="AE126" s="31"/>
      <c r="AF126" s="33" t="s">
        <v>20</v>
      </c>
    </row>
    <row r="127" spans="19:33" ht="24">
      <c r="S127" s="2" t="s">
        <v>18</v>
      </c>
      <c r="T127" s="2"/>
      <c r="U127" s="30"/>
      <c r="V127" s="33">
        <v>0.09</v>
      </c>
      <c r="W127" s="31"/>
      <c r="X127" s="2" t="s">
        <v>42</v>
      </c>
      <c r="Y127" s="35"/>
      <c r="Z127" s="31"/>
      <c r="AA127" s="32">
        <v>2.3183323592441001E-2</v>
      </c>
      <c r="AC127" s="2" t="s">
        <v>21</v>
      </c>
      <c r="AD127" s="35"/>
      <c r="AE127" s="31"/>
      <c r="AF127" s="36" t="s">
        <v>22</v>
      </c>
    </row>
    <row r="128" spans="19:33" ht="24">
      <c r="S128" s="2" t="s">
        <v>43</v>
      </c>
      <c r="T128" s="2"/>
      <c r="U128" s="30"/>
      <c r="V128" s="33">
        <v>0.08</v>
      </c>
      <c r="W128" s="31"/>
      <c r="X128" s="2" t="s">
        <v>44</v>
      </c>
      <c r="Y128" s="35"/>
      <c r="Z128" s="31"/>
      <c r="AA128" s="37">
        <v>3.16591063999812E-2</v>
      </c>
      <c r="AC128" s="2" t="s">
        <v>23</v>
      </c>
      <c r="AD128" s="35"/>
      <c r="AE128" s="31"/>
      <c r="AF128" s="38" t="s">
        <v>24</v>
      </c>
    </row>
    <row r="129" spans="19:32" ht="24">
      <c r="S129" s="2" t="s">
        <v>45</v>
      </c>
      <c r="T129" s="2"/>
      <c r="U129" s="30"/>
      <c r="V129" s="33">
        <v>7.0000000000000007E-2</v>
      </c>
      <c r="W129" s="46"/>
      <c r="X129" s="2" t="s">
        <v>46</v>
      </c>
      <c r="Y129" s="35"/>
      <c r="Z129" s="31"/>
      <c r="AA129" s="37">
        <v>6.9610812276816904E-3</v>
      </c>
      <c r="AC129" s="2" t="s">
        <v>25</v>
      </c>
      <c r="AD129" s="35"/>
      <c r="AE129" s="31"/>
      <c r="AF129" s="33" t="s">
        <v>26</v>
      </c>
    </row>
    <row r="130" spans="19:32" ht="24">
      <c r="X130" s="2" t="s">
        <v>47</v>
      </c>
      <c r="Y130" s="35"/>
      <c r="Z130" s="31"/>
      <c r="AA130" s="33">
        <v>1.72792112752163</v>
      </c>
      <c r="AC130" s="2" t="s">
        <v>27</v>
      </c>
      <c r="AD130" s="35"/>
      <c r="AE130" s="31"/>
      <c r="AF130" s="33">
        <v>0.01</v>
      </c>
    </row>
    <row r="131" spans="19:32" ht="26.5">
      <c r="S131" s="166" t="s">
        <v>28</v>
      </c>
      <c r="T131" s="166"/>
      <c r="U131" s="166"/>
      <c r="V131" s="166"/>
      <c r="W131" s="31"/>
      <c r="X131" s="2" t="s">
        <v>48</v>
      </c>
      <c r="Y131" s="35"/>
      <c r="Z131" s="31"/>
      <c r="AA131" s="33" t="s">
        <v>49</v>
      </c>
      <c r="AC131" s="2" t="s">
        <v>30</v>
      </c>
      <c r="AD131" s="35"/>
      <c r="AE131" s="31"/>
      <c r="AF131" s="33">
        <v>0.2</v>
      </c>
    </row>
    <row r="132" spans="19:32" ht="24">
      <c r="S132" s="40" t="s">
        <v>31</v>
      </c>
      <c r="T132" s="40"/>
      <c r="U132" s="31"/>
      <c r="V132" s="33">
        <v>0.85</v>
      </c>
      <c r="W132" s="31"/>
      <c r="X132" s="2" t="s">
        <v>50</v>
      </c>
      <c r="Y132" s="31"/>
      <c r="Z132" s="31"/>
      <c r="AA132" s="43">
        <v>0.45</v>
      </c>
      <c r="AC132" s="2" t="s">
        <v>32</v>
      </c>
      <c r="AD132" s="31"/>
      <c r="AE132" s="31"/>
      <c r="AF132" s="43" t="s">
        <v>33</v>
      </c>
    </row>
    <row r="133" spans="19:32" ht="24">
      <c r="S133" s="40" t="s">
        <v>34</v>
      </c>
      <c r="T133" s="40"/>
      <c r="U133" s="31"/>
      <c r="V133" s="41">
        <v>-0.16</v>
      </c>
      <c r="W133" s="31"/>
      <c r="X133" s="2" t="s">
        <v>51</v>
      </c>
      <c r="Y133" s="35"/>
      <c r="Z133" s="31"/>
      <c r="AA133" s="43">
        <v>0.55000000000000004</v>
      </c>
      <c r="AC133" s="2" t="s">
        <v>35</v>
      </c>
      <c r="AD133" s="35"/>
      <c r="AE133" s="31"/>
      <c r="AF133" s="51" t="s">
        <v>36</v>
      </c>
    </row>
    <row r="134" spans="19:32" ht="24">
      <c r="S134" s="40" t="s">
        <v>28</v>
      </c>
      <c r="T134" s="40"/>
      <c r="U134" s="31"/>
      <c r="V134" s="41">
        <f>V132+V133</f>
        <v>0.69</v>
      </c>
      <c r="W134" s="31"/>
      <c r="X134" s="2" t="s">
        <v>52</v>
      </c>
      <c r="Y134" s="31"/>
      <c r="Z134" s="31"/>
      <c r="AA134" s="42">
        <v>-1.7766366799105499E-2</v>
      </c>
      <c r="AC134" s="2" t="s">
        <v>37</v>
      </c>
      <c r="AD134" s="31"/>
      <c r="AE134" s="31"/>
      <c r="AF134" s="43" t="s">
        <v>38</v>
      </c>
    </row>
    <row r="135" spans="19:32" ht="24">
      <c r="X135" s="2"/>
    </row>
    <row r="136" spans="19:32" ht="24">
      <c r="X136" s="2"/>
    </row>
    <row r="137" spans="19:32" ht="24">
      <c r="X137" s="2"/>
    </row>
  </sheetData>
  <mergeCells count="18">
    <mergeCell ref="AC125:AF125"/>
    <mergeCell ref="S131:V131"/>
    <mergeCell ref="S114:T114"/>
    <mergeCell ref="X114:Y114"/>
    <mergeCell ref="S115:T115"/>
    <mergeCell ref="X115:Y115"/>
    <mergeCell ref="S125:V125"/>
    <mergeCell ref="X125:AA125"/>
    <mergeCell ref="S112:T112"/>
    <mergeCell ref="X112:Y112"/>
    <mergeCell ref="AC112:AD112"/>
    <mergeCell ref="S113:T113"/>
    <mergeCell ref="X113:Y113"/>
    <mergeCell ref="D17:F17"/>
    <mergeCell ref="D18:F18"/>
    <mergeCell ref="D59:G59"/>
    <mergeCell ref="H59:I59"/>
    <mergeCell ref="K59:N59"/>
  </mergeCells>
  <printOptions horizontalCentered="1"/>
  <pageMargins left="3.9583333333333297E-2" right="3.9583333333333297E-2" top="3.9583333333333297E-2" bottom="7.8472222222222193E-2"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D61"/>
  <sheetViews>
    <sheetView zoomScale="70" zoomScaleNormal="70" workbookViewId="0">
      <selection activeCell="E31" sqref="E31"/>
    </sheetView>
  </sheetViews>
  <sheetFormatPr defaultColWidth="8.81640625" defaultRowHeight="14.25" customHeight="1"/>
  <cols>
    <col min="1" max="1" width="25.1796875" style="54" bestFit="1" customWidth="1"/>
    <col min="2" max="2" width="13.1796875" style="55" customWidth="1"/>
    <col min="3" max="3" width="9.08984375" style="54" customWidth="1"/>
    <col min="4" max="6" width="17.1796875" style="54" customWidth="1"/>
    <col min="7" max="7" width="10.08984375" style="54" customWidth="1"/>
    <col min="8" max="8" width="14.54296875" style="54" customWidth="1"/>
    <col min="9" max="9" width="8.54296875" style="54" customWidth="1"/>
    <col min="10" max="10" width="8.81640625" style="54"/>
    <col min="11" max="11" width="10.54296875" style="54" customWidth="1"/>
    <col min="12" max="12" width="10" style="54" customWidth="1"/>
    <col min="13" max="14" width="8.54296875" style="54" customWidth="1"/>
    <col min="15" max="15" width="11.08984375" style="54" customWidth="1"/>
    <col min="16" max="16" width="13.81640625" style="54" customWidth="1"/>
    <col min="17" max="17" width="13" style="56" customWidth="1"/>
    <col min="18" max="18" width="8.81640625" style="54"/>
    <col min="19" max="19" width="9.08984375" style="54" customWidth="1"/>
    <col min="20" max="20" width="12.54296875" style="54" customWidth="1"/>
    <col min="21" max="21" width="8.81640625" style="54"/>
    <col min="22" max="22" width="15" style="54" customWidth="1"/>
    <col min="23" max="23" width="8.1796875" style="54" customWidth="1"/>
    <col min="24" max="24" width="8.81640625" style="54"/>
    <col min="25" max="25" width="10.54296875" style="54" customWidth="1"/>
    <col min="26" max="26" width="10" style="54" customWidth="1"/>
    <col min="27" max="28" width="8.54296875" style="54" customWidth="1"/>
    <col min="29" max="29" width="8.81640625" style="54"/>
    <col min="30" max="32" width="10.81640625" style="54" customWidth="1"/>
    <col min="33" max="33" width="15.54296875" style="54" customWidth="1"/>
    <col min="34" max="34" width="9.54296875" style="54" customWidth="1"/>
    <col min="35" max="35" width="11.54296875" style="54" customWidth="1"/>
    <col min="36" max="36" width="13" style="54" customWidth="1"/>
    <col min="37" max="40" width="14.08984375" style="54" customWidth="1"/>
    <col min="41" max="41" width="8.81640625" style="54"/>
    <col min="42" max="42" width="11.453125" style="54" customWidth="1"/>
    <col min="43" max="50" width="15" style="54" customWidth="1"/>
    <col min="51" max="51" width="8.81640625" style="54"/>
    <col min="52" max="53" width="14.453125" style="57" customWidth="1"/>
    <col min="54" max="54" width="19.453125" style="57" customWidth="1"/>
    <col min="55" max="55" width="9" style="56" customWidth="1"/>
    <col min="56" max="56" width="12.54296875" style="56" customWidth="1"/>
    <col min="57" max="57" width="12.54296875" style="54" customWidth="1"/>
    <col min="58" max="58" width="11.54296875" style="58" customWidth="1"/>
    <col min="59" max="59" width="13" style="58" customWidth="1"/>
    <col min="60" max="60" width="11" style="58" customWidth="1"/>
    <col min="61" max="61" width="12.54296875" style="56" customWidth="1"/>
    <col min="62" max="62" width="13" style="54" customWidth="1"/>
    <col min="63" max="63" width="13.81640625" style="54" bestFit="1" customWidth="1"/>
    <col min="64" max="65" width="13.1796875" style="54" customWidth="1"/>
    <col min="66" max="67" width="13.81640625" style="54" bestFit="1" customWidth="1"/>
    <col min="68" max="68" width="12.54296875" style="56" bestFit="1" customWidth="1"/>
    <col min="69" max="69" width="16" style="56" customWidth="1"/>
    <col min="70" max="70" width="7.1796875" style="56" customWidth="1"/>
    <col min="71" max="71" width="25.08984375" style="56" customWidth="1"/>
    <col min="72" max="72" width="8.81640625" style="56"/>
    <col min="73" max="78" width="13.1796875" style="56" customWidth="1"/>
    <col min="79" max="79" width="12.54296875" style="59" customWidth="1"/>
    <col min="80" max="80" width="14.54296875" style="56" customWidth="1"/>
    <col min="81" max="81" width="14.81640625" style="56" customWidth="1"/>
    <col min="82" max="82" width="13.81640625" style="60" customWidth="1"/>
    <col min="83" max="83" width="11.08984375" style="60" customWidth="1"/>
    <col min="84" max="84" width="13.1796875" style="54" customWidth="1"/>
    <col min="85" max="85" width="17.1796875" style="54" customWidth="1"/>
    <col min="86" max="86" width="11.08984375" style="54" customWidth="1"/>
    <col min="87" max="88" width="8.81640625" style="54"/>
    <col min="89" max="89" width="12.1796875" style="54" customWidth="1"/>
    <col min="90" max="90" width="8.54296875" style="56" customWidth="1"/>
    <col min="91" max="91" width="14.08984375" style="56" customWidth="1"/>
    <col min="92" max="92" width="10.453125" style="54" customWidth="1"/>
    <col min="93" max="96" width="8.81640625" style="54"/>
    <col min="97" max="97" width="8.81640625" style="61"/>
    <col min="98" max="98" width="25" style="54" customWidth="1"/>
    <col min="99" max="100" width="9.08984375" style="54" customWidth="1"/>
    <col min="101" max="101" width="22.54296875" style="54" customWidth="1"/>
    <col min="102" max="102" width="8.1796875" style="54" customWidth="1"/>
    <col min="103" max="103" width="10.81640625" style="54" customWidth="1"/>
    <col min="104" max="107" width="11.453125" style="54" customWidth="1"/>
    <col min="108" max="115" width="9.08984375" style="54" customWidth="1"/>
    <col min="116" max="116" width="9.08984375" style="62" customWidth="1"/>
    <col min="117" max="117" width="8.81640625" style="56"/>
    <col min="118" max="118" width="8.1796875" style="56" customWidth="1"/>
    <col min="119" max="119" width="8.81640625" style="56"/>
    <col min="120" max="120" width="10.08984375" style="56" customWidth="1"/>
    <col min="121" max="121" width="7.81640625" style="54" customWidth="1"/>
    <col min="122" max="122" width="9.08984375" style="62" customWidth="1"/>
    <col min="123" max="123" width="5.08984375" style="62" customWidth="1"/>
    <col min="124" max="124" width="6.453125" style="62" customWidth="1"/>
    <col min="125" max="125" width="26.453125" style="54" customWidth="1"/>
    <col min="126" max="16384" width="8.81640625" style="54"/>
  </cols>
  <sheetData>
    <row r="1" spans="1:134" s="66" customFormat="1" ht="15.5">
      <c r="A1" s="63"/>
      <c r="B1" s="64"/>
      <c r="C1" s="172" t="s">
        <v>53</v>
      </c>
      <c r="D1" s="172"/>
      <c r="E1" s="172"/>
      <c r="F1" s="172"/>
      <c r="G1" s="172"/>
      <c r="H1" s="172"/>
      <c r="I1" s="172"/>
      <c r="J1" s="172"/>
      <c r="K1" s="172"/>
      <c r="L1" s="172"/>
      <c r="M1" s="172"/>
      <c r="N1" s="172"/>
      <c r="O1" s="172"/>
      <c r="P1" s="172"/>
      <c r="Q1" s="172"/>
      <c r="R1" s="1"/>
      <c r="S1" s="172" t="s">
        <v>54</v>
      </c>
      <c r="T1" s="172"/>
      <c r="U1" s="172"/>
      <c r="V1" s="172"/>
      <c r="W1" s="172"/>
      <c r="X1" s="172"/>
      <c r="Y1" s="172"/>
      <c r="Z1" s="172"/>
      <c r="AA1" s="172"/>
      <c r="AB1" s="172"/>
      <c r="AC1" s="1"/>
      <c r="AD1" s="172" t="s">
        <v>55</v>
      </c>
      <c r="AE1" s="172"/>
      <c r="AF1" s="172"/>
      <c r="AG1" s="172"/>
      <c r="AH1" s="172"/>
      <c r="AI1" s="172"/>
      <c r="AJ1" s="172"/>
      <c r="AK1" s="172"/>
      <c r="AL1" s="172"/>
      <c r="AM1" s="172"/>
      <c r="AN1" s="172"/>
      <c r="AO1" s="1"/>
      <c r="AP1" s="172" t="s">
        <v>56</v>
      </c>
      <c r="AQ1" s="172"/>
      <c r="AR1" s="172"/>
      <c r="AS1" s="172"/>
      <c r="AT1" s="172"/>
      <c r="AU1" s="172"/>
      <c r="AV1" s="172"/>
      <c r="AW1" s="172"/>
      <c r="AX1" s="172"/>
      <c r="AY1" s="1"/>
      <c r="AZ1" s="172" t="s">
        <v>57</v>
      </c>
      <c r="BA1" s="172"/>
      <c r="BB1" s="172"/>
      <c r="BC1" s="172"/>
      <c r="BD1" s="172"/>
      <c r="BE1" s="172"/>
      <c r="BF1" s="172"/>
      <c r="BG1" s="172"/>
      <c r="BH1" s="172"/>
      <c r="BI1" s="172"/>
      <c r="BJ1" s="172"/>
      <c r="BK1" s="172"/>
      <c r="BL1" s="172"/>
      <c r="BM1" s="172"/>
      <c r="BN1" s="172"/>
      <c r="BO1" s="1"/>
      <c r="BP1" s="65"/>
      <c r="BQ1" s="65"/>
      <c r="BR1" s="65"/>
      <c r="BS1" s="65"/>
      <c r="BT1" s="65"/>
      <c r="BU1" s="65"/>
      <c r="BV1" s="65"/>
      <c r="BW1" s="65"/>
      <c r="BX1" s="65"/>
      <c r="BY1" s="65"/>
      <c r="BZ1" s="65"/>
      <c r="CA1" s="171"/>
      <c r="CB1" s="171"/>
      <c r="CC1" s="171"/>
      <c r="CD1" s="171"/>
      <c r="CE1" s="171"/>
      <c r="CF1" s="171"/>
      <c r="CG1" s="171"/>
      <c r="CH1" s="171"/>
      <c r="CI1" s="171"/>
      <c r="CJ1" s="171"/>
      <c r="CK1" s="171"/>
      <c r="CL1" s="171"/>
      <c r="CM1" s="171"/>
      <c r="CN1" s="171"/>
      <c r="CO1" s="171"/>
      <c r="CP1" s="171"/>
      <c r="CQ1" s="171"/>
      <c r="CR1" s="171"/>
      <c r="CS1" s="171"/>
      <c r="DL1" s="67"/>
      <c r="DM1" s="65"/>
      <c r="DN1" s="65"/>
      <c r="DO1" s="65"/>
      <c r="DP1" s="65"/>
      <c r="DR1" s="67"/>
      <c r="DS1" s="67"/>
      <c r="DT1" s="67"/>
    </row>
    <row r="2" spans="1:134" s="155" customFormat="1" ht="52.5" customHeight="1">
      <c r="A2" s="154" t="s">
        <v>58</v>
      </c>
      <c r="B2" s="154" t="s">
        <v>59</v>
      </c>
      <c r="C2" s="154" t="s">
        <v>58</v>
      </c>
      <c r="D2" s="154" t="s">
        <v>60</v>
      </c>
      <c r="E2" s="154" t="s">
        <v>61</v>
      </c>
      <c r="F2" s="154" t="s">
        <v>62</v>
      </c>
      <c r="G2" s="154" t="s">
        <v>63</v>
      </c>
      <c r="H2" s="154" t="s">
        <v>64</v>
      </c>
      <c r="I2" s="154" t="s">
        <v>251</v>
      </c>
      <c r="J2" s="154" t="s">
        <v>66</v>
      </c>
      <c r="K2" s="154" t="s">
        <v>252</v>
      </c>
      <c r="L2" s="154" t="s">
        <v>253</v>
      </c>
      <c r="M2" s="154" t="s">
        <v>41</v>
      </c>
      <c r="N2" s="154" t="s">
        <v>42</v>
      </c>
      <c r="O2" s="154" t="s">
        <v>47</v>
      </c>
      <c r="P2" s="154" t="s">
        <v>48</v>
      </c>
      <c r="Q2" s="154" t="s">
        <v>254</v>
      </c>
      <c r="R2" s="154" t="s">
        <v>255</v>
      </c>
      <c r="S2" s="154" t="s">
        <v>67</v>
      </c>
      <c r="T2" s="154" t="s">
        <v>68</v>
      </c>
      <c r="U2" s="154" t="s">
        <v>69</v>
      </c>
      <c r="V2" s="154" t="s">
        <v>70</v>
      </c>
      <c r="W2" s="154" t="s">
        <v>65</v>
      </c>
      <c r="X2" s="154" t="s">
        <v>66</v>
      </c>
      <c r="Y2" s="154" t="s">
        <v>256</v>
      </c>
      <c r="Z2" s="154" t="s">
        <v>257</v>
      </c>
      <c r="AA2" s="154" t="s">
        <v>41</v>
      </c>
      <c r="AB2" s="154" t="s">
        <v>42</v>
      </c>
      <c r="AC2" s="154"/>
      <c r="AD2" s="154" t="s">
        <v>71</v>
      </c>
      <c r="AE2" s="154" t="s">
        <v>258</v>
      </c>
      <c r="AF2" s="154" t="s">
        <v>259</v>
      </c>
      <c r="AG2" s="154" t="s">
        <v>72</v>
      </c>
      <c r="AH2" s="154" t="s">
        <v>73</v>
      </c>
      <c r="AI2" s="154" t="s">
        <v>74</v>
      </c>
      <c r="AJ2" s="154" t="s">
        <v>75</v>
      </c>
      <c r="AK2" s="154" t="s">
        <v>260</v>
      </c>
      <c r="AL2" s="154" t="s">
        <v>261</v>
      </c>
      <c r="AM2" s="154" t="s">
        <v>262</v>
      </c>
      <c r="AN2" s="154" t="s">
        <v>263</v>
      </c>
      <c r="AO2" s="154" t="s">
        <v>78</v>
      </c>
      <c r="AP2" s="154" t="s">
        <v>264</v>
      </c>
      <c r="AQ2" s="154" t="s">
        <v>265</v>
      </c>
      <c r="AR2" s="154" t="s">
        <v>266</v>
      </c>
      <c r="AS2" s="154" t="s">
        <v>267</v>
      </c>
      <c r="AT2" s="154"/>
      <c r="AU2" s="154"/>
      <c r="AV2" s="154" t="s">
        <v>72</v>
      </c>
      <c r="AW2" s="154" t="s">
        <v>73</v>
      </c>
      <c r="AX2" s="154" t="s">
        <v>74</v>
      </c>
      <c r="AY2" s="154" t="s">
        <v>75</v>
      </c>
      <c r="AZ2" s="154" t="s">
        <v>268</v>
      </c>
      <c r="BA2" s="154" t="s">
        <v>269</v>
      </c>
      <c r="BB2" s="154" t="s">
        <v>77</v>
      </c>
      <c r="BC2" s="154" t="s">
        <v>270</v>
      </c>
      <c r="BD2" s="154" t="s">
        <v>271</v>
      </c>
      <c r="BE2" s="154"/>
      <c r="BF2" s="154" t="s">
        <v>79</v>
      </c>
      <c r="BG2" s="154" t="s">
        <v>21</v>
      </c>
      <c r="BH2" s="154" t="s">
        <v>80</v>
      </c>
      <c r="BI2" s="154" t="s">
        <v>81</v>
      </c>
      <c r="BJ2" s="154" t="s">
        <v>82</v>
      </c>
      <c r="BK2" s="154" t="s">
        <v>59</v>
      </c>
      <c r="BL2" s="154" t="s">
        <v>83</v>
      </c>
      <c r="BM2" s="154" t="s">
        <v>84</v>
      </c>
      <c r="BN2" s="154" t="s">
        <v>81</v>
      </c>
      <c r="BO2" s="154" t="s">
        <v>85</v>
      </c>
      <c r="BP2" s="154" t="s">
        <v>28</v>
      </c>
      <c r="BQ2" s="154" t="s">
        <v>31</v>
      </c>
      <c r="BR2" s="154" t="s">
        <v>34</v>
      </c>
      <c r="BS2" s="154" t="s">
        <v>86</v>
      </c>
      <c r="BT2" s="154" t="s">
        <v>87</v>
      </c>
      <c r="BU2" s="154" t="s">
        <v>88</v>
      </c>
      <c r="BV2" s="154" t="s">
        <v>89</v>
      </c>
      <c r="BW2" s="154"/>
      <c r="BX2" s="169" t="s">
        <v>272</v>
      </c>
      <c r="BY2" s="169"/>
      <c r="BZ2" s="169"/>
      <c r="CB2" s="170" t="s">
        <v>273</v>
      </c>
      <c r="CC2" s="170"/>
    </row>
    <row r="3" spans="1:134" s="56" customFormat="1" ht="15.5">
      <c r="A3" s="132">
        <v>45838</v>
      </c>
      <c r="B3" s="133">
        <v>1</v>
      </c>
      <c r="C3" s="134"/>
      <c r="D3" s="134">
        <v>0</v>
      </c>
      <c r="E3" s="134"/>
      <c r="F3" s="134"/>
      <c r="G3" s="134"/>
      <c r="H3" s="135"/>
      <c r="I3"/>
      <c r="J3"/>
      <c r="K3"/>
      <c r="L3"/>
      <c r="M3"/>
      <c r="N3"/>
      <c r="O3"/>
      <c r="P3" s="153"/>
      <c r="Q3" s="138"/>
      <c r="R3" s="139">
        <f>[1]Benchmarks!C3</f>
        <v>425.45</v>
      </c>
      <c r="S3" s="134"/>
      <c r="T3" s="134"/>
      <c r="U3" s="135"/>
      <c r="V3" s="153"/>
      <c r="W3" s="134"/>
      <c r="X3" s="136"/>
      <c r="Y3" s="136"/>
      <c r="Z3" s="136"/>
      <c r="AA3" s="135"/>
      <c r="AB3" s="135"/>
      <c r="AC3" s="135"/>
      <c r="AD3" s="134"/>
      <c r="AE3" s="134"/>
      <c r="AF3" s="134"/>
      <c r="AG3" s="135"/>
      <c r="AH3" s="135"/>
      <c r="AI3" s="134"/>
      <c r="AJ3" s="134"/>
      <c r="AK3" s="134"/>
      <c r="AL3" s="134"/>
      <c r="AM3" s="134"/>
      <c r="AN3" s="134"/>
      <c r="AO3" s="134"/>
      <c r="AP3" s="134"/>
      <c r="AQ3" s="134"/>
      <c r="AR3" s="134"/>
      <c r="AS3" s="134"/>
      <c r="AT3" s="134"/>
      <c r="AU3" s="135"/>
      <c r="AV3" s="135"/>
      <c r="AW3" s="135"/>
      <c r="AX3" s="134"/>
      <c r="AY3" s="134"/>
      <c r="AZ3" s="134"/>
      <c r="BA3" s="134"/>
      <c r="BB3" s="134"/>
      <c r="BC3" s="134"/>
      <c r="BD3" s="134"/>
      <c r="BE3" s="135"/>
      <c r="BF3" s="140"/>
      <c r="BG3" s="141"/>
      <c r="BH3" s="142"/>
      <c r="BI3" s="135"/>
      <c r="BJ3" s="135"/>
      <c r="BK3" s="141"/>
      <c r="BL3" s="141"/>
      <c r="BM3" s="141"/>
      <c r="BN3" s="141"/>
      <c r="BO3" s="156"/>
      <c r="BP3" s="157"/>
      <c r="BQ3" s="157"/>
      <c r="BR3" s="157"/>
      <c r="BS3" s="156"/>
      <c r="BT3" s="156"/>
      <c r="BU3" s="145"/>
      <c r="BV3" s="145"/>
      <c r="BW3" s="145"/>
      <c r="BX3" s="158" t="s">
        <v>81</v>
      </c>
      <c r="BY3" s="147" t="e">
        <f>BZ3/$BZ$11</f>
        <v>#DIV/0!</v>
      </c>
      <c r="BZ3" s="159">
        <v>17068298.050000001</v>
      </c>
      <c r="CB3" s="160" t="s">
        <v>170</v>
      </c>
      <c r="CD3" s="56" t="s">
        <v>181</v>
      </c>
      <c r="CE3" s="56" t="s">
        <v>274</v>
      </c>
      <c r="CF3" s="56" t="s">
        <v>275</v>
      </c>
      <c r="CG3" s="150">
        <v>6.0051455235897749E-2</v>
      </c>
      <c r="CI3" s="151" cm="1">
        <f t="array" ref="CI3">_xll.BDP(CF3,"CUR_MKT_CAP","CURRENCY","AUD")</f>
        <v>3863262380000</v>
      </c>
      <c r="CJ3" s="151">
        <v>3439516769999.9995</v>
      </c>
      <c r="CK3" s="152" t="e">
        <f>CG3/$CG$16</f>
        <v>#DIV/0!</v>
      </c>
    </row>
    <row r="4" spans="1:134" s="56" customFormat="1" ht="15.5">
      <c r="A4" s="132">
        <v>45869</v>
      </c>
      <c r="B4" s="133">
        <v>1.0266</v>
      </c>
      <c r="C4" s="134">
        <f>B4/B3-1</f>
        <v>2.6599999999999957E-2</v>
      </c>
      <c r="D4" s="134">
        <f>((1+C4)*(1))-1</f>
        <v>2.6599999999999957E-2</v>
      </c>
      <c r="E4" s="134"/>
      <c r="F4" s="134">
        <f>D4</f>
        <v>2.6599999999999957E-2</v>
      </c>
      <c r="G4" s="134">
        <f>D4</f>
        <v>2.6599999999999957E-2</v>
      </c>
      <c r="H4" s="135">
        <f>((1+D4)^(365/(_xlfn.DAYS(A4,"1/07/2025"))))-1</f>
        <v>0.37630703279551914</v>
      </c>
      <c r="I4" s="134" t="str">
        <f>IFERROR(_xlfn.STDEV.S($C$4:C4)*SQRT(12),"")</f>
        <v/>
      </c>
      <c r="J4" s="136" t="str">
        <f>IFERROR(SUMIF(C$4:C4,"&gt;0",C$4:C4)/ABS(SUMIF(C$4:C4,"&lt;0",C$4:C4)),"")</f>
        <v/>
      </c>
      <c r="K4" s="153" t="str">
        <f>IFERROR(AVERAGE($AG$4:AG4)/AK4*SQRT(12),"")</f>
        <v/>
      </c>
      <c r="L4" s="136" t="str">
        <f>IFERROR(AVERAGE($AG$4:AG4)/_xlfn.STDEV.S($AG$4:AG4)*SQRT(12),"")</f>
        <v/>
      </c>
      <c r="M4" s="134">
        <f>MAX($C$4:C4)</f>
        <v>2.6599999999999957E-2</v>
      </c>
      <c r="N4" s="134">
        <f>MIN($C$4:C4)</f>
        <v>2.6599999999999957E-2</v>
      </c>
      <c r="O4" s="135">
        <f>IFERROR(AVERAGEIF($S$4:S4,"&gt;0",$C$4:C4)/AVERAGEIF($S$4:S4,"&gt;0",$S$4:S4),"")</f>
        <v>0.83891549295774359</v>
      </c>
      <c r="P4" s="153" t="str">
        <f>IFERROR(AVERAGEIF($S$4:S4,"&lt;0",$C$4:C4)/AVERAGEIF($S$4:S4,"&lt;0",$S$4:S4),"-")</f>
        <v>-</v>
      </c>
      <c r="Q4" s="138" t="str">
        <f>IFERROR(SLOPE($C$4:C4,$S$4:S4),"")</f>
        <v/>
      </c>
      <c r="R4" s="139">
        <f>[1]Benchmarks!C4</f>
        <v>438.94</v>
      </c>
      <c r="S4" s="134">
        <f>R4/R3-1</f>
        <v>3.1707603713714949E-2</v>
      </c>
      <c r="T4" s="134">
        <f>((1+S4)*(1+T3))-1</f>
        <v>3.1707603713714949E-2</v>
      </c>
      <c r="U4" s="135"/>
      <c r="V4" s="137">
        <f t="shared" ref="V4:V8" si="0">((1+T4)^(365/(_xlfn.DAYS(A4,"30/06/2025"))))-1</f>
        <v>0.44417027234833251</v>
      </c>
      <c r="W4" s="134" t="str">
        <f>IFERROR(STDEV($S$4:S4),"")</f>
        <v/>
      </c>
      <c r="X4" s="136" t="str">
        <f>IFERROR(SUMIF(S$4:S4,"&gt;0",S$4:S4)/ABS(SUMIF(S$4:S4,"&lt;0",S$4:S4)),"")</f>
        <v/>
      </c>
      <c r="Y4" s="153" t="str">
        <f>IFERROR(AVERAGE($AV$4:AV4)/AZ4*SQRT(12),"")</f>
        <v/>
      </c>
      <c r="Z4" s="136" t="str">
        <f>IFERROR(AVERAGE($AV$4:AV4)/_xlfn.STDEV.S($AV$4:AV4)*SQRT(12),"")</f>
        <v/>
      </c>
      <c r="AA4" s="134">
        <f>MAX($S$4:S4)</f>
        <v>3.1707603713714949E-2</v>
      </c>
      <c r="AB4" s="134">
        <f>MIN($S$4:S4)</f>
        <v>3.1707603713714949E-2</v>
      </c>
      <c r="AC4" s="135"/>
      <c r="AD4" s="134">
        <v>0</v>
      </c>
      <c r="AE4" s="134">
        <v>3.85E-2</v>
      </c>
      <c r="AF4" s="134">
        <f>((1+AE4)^(1/12))-1</f>
        <v>3.1530742084739938E-3</v>
      </c>
      <c r="AG4" s="135">
        <f>C4-AF4</f>
        <v>2.3446925791525963E-2</v>
      </c>
      <c r="AH4" s="135">
        <f>G4-(AF4*12)</f>
        <v>-1.1236890501687968E-2</v>
      </c>
      <c r="AI4" s="134" t="str">
        <f>IF(AG4&lt;0, AG4, "")</f>
        <v/>
      </c>
      <c r="AJ4" s="134">
        <f>IFERROR(AI4*AI4,0)</f>
        <v>0</v>
      </c>
      <c r="AK4" s="134" cm="1">
        <f t="array" ref="AK4">IFERROR(SQRT(AVERAGE(IF($AG$4:AG4&lt;0,($AG$4:AG4)^2,0))),"")</f>
        <v>0</v>
      </c>
      <c r="AL4" s="134">
        <f>IFERROR(AK4*SQRT(12),"")</f>
        <v>0</v>
      </c>
      <c r="AM4" s="134">
        <f>IFERROR(AVERAGE($AG$4:AG4),"")</f>
        <v>2.3446925791525963E-2</v>
      </c>
      <c r="AN4" s="134" t="str">
        <f>IFERROR(_xlfn.STDEV.S($AG$4:AG4),"")</f>
        <v/>
      </c>
      <c r="AO4" s="134" t="str">
        <f>IFERROR(AM4/AN4*SQRT(12),"")</f>
        <v/>
      </c>
      <c r="AP4" s="134" t="str">
        <f>IFERROR(CORREL($C$4:C4,$S$4:S4),"")</f>
        <v/>
      </c>
      <c r="AQ4" s="134" t="str">
        <f>IFERROR(RSQ($C$4:C4,$S$4:S4),"")</f>
        <v/>
      </c>
      <c r="AR4" s="134" t="str" cm="1">
        <f t="array" ref="AR4">IFERROR(_xlfn.STDEV.S($C$4:C4-$S$4:S4)*SQRT(12),"")</f>
        <v/>
      </c>
      <c r="AS4" s="134" t="str" cm="1">
        <f t="array" ref="AS4">IFERROR((AVERAGE($C$4:C4-$S$4:S4)*12)/(_xlfn.STDEV.S($C$4:C4-$S$4:S4)*SQRT(12)),"")</f>
        <v/>
      </c>
      <c r="AT4" s="134"/>
      <c r="AU4" s="135"/>
      <c r="AV4" s="135">
        <f>S4-AF4</f>
        <v>2.8554529505240955E-2</v>
      </c>
      <c r="AW4" s="135">
        <f>U4-(AF4*12)</f>
        <v>-3.7836890501687925E-2</v>
      </c>
      <c r="AX4" s="134" t="str">
        <f t="shared" ref="AX4:AX8" si="1">IF(AV4&lt;0, AV4, "")</f>
        <v/>
      </c>
      <c r="AY4" s="134">
        <f t="shared" ref="AY4:AY8" si="2">IFERROR(AX4*AX4,0)</f>
        <v>0</v>
      </c>
      <c r="AZ4" s="134" cm="1">
        <f t="array" ref="AZ4">IFERROR(SQRT(AVERAGE(IF($AV$4:AV4&lt;0,($AV$4:AV4)^2,0))),"")</f>
        <v>0</v>
      </c>
      <c r="BA4" s="134">
        <f>IFERROR(AZ4*SQRT(12),"")</f>
        <v>0</v>
      </c>
      <c r="BB4" s="134">
        <f t="shared" ref="BB4:BB8" si="3">IFERROR(AV4*AV4,0)</f>
        <v>8.1536115526567631E-4</v>
      </c>
      <c r="BC4" s="134" t="str">
        <f>IFERROR(_xlfn.STDEV.S($AV$4:AV4),"")</f>
        <v/>
      </c>
      <c r="BD4" s="134" t="str">
        <f>IFERROR(BC4*SQRT(12),"")</f>
        <v/>
      </c>
      <c r="BE4" s="135"/>
      <c r="BF4" s="140"/>
      <c r="BG4" s="141"/>
      <c r="BH4" s="142"/>
      <c r="BI4" s="135">
        <f>BN4/BK4</f>
        <v>0.76509667506176826</v>
      </c>
      <c r="BJ4" s="135">
        <f>AVERAGE($BI$4:BI4)</f>
        <v>0.76509667506176826</v>
      </c>
      <c r="BK4" s="143">
        <v>14435005</v>
      </c>
      <c r="BL4" s="143">
        <v>3335141</v>
      </c>
      <c r="BM4" s="143">
        <v>55688</v>
      </c>
      <c r="BN4" s="143">
        <v>11044174.33</v>
      </c>
      <c r="BO4" s="144">
        <f>BL4+BM4</f>
        <v>3390829</v>
      </c>
      <c r="BP4" s="144">
        <f>BL4-BM4</f>
        <v>3279453</v>
      </c>
      <c r="BQ4" s="137">
        <f>BL4/BK4</f>
        <v>0.23104536506914961</v>
      </c>
      <c r="BR4" s="137">
        <f>-BM4/BK4</f>
        <v>-3.857844178093461E-3</v>
      </c>
      <c r="BS4" s="137">
        <f>BO4/BK4</f>
        <v>0.23490320924724306</v>
      </c>
      <c r="BT4" s="137">
        <f>BP4/BK4</f>
        <v>0.22718752089105615</v>
      </c>
      <c r="BU4" s="137">
        <f>AVERAGE($BS$4:BS4)</f>
        <v>0.23490320924724306</v>
      </c>
      <c r="BV4" s="137">
        <f>AVERAGE($BT$4:BT4)</f>
        <v>0.22718752089105615</v>
      </c>
      <c r="BW4" s="145"/>
      <c r="BX4" s="161" t="s">
        <v>106</v>
      </c>
      <c r="BY4" s="147" t="e">
        <f>BZ4/$BZ$11</f>
        <v>#DIV/0!</v>
      </c>
      <c r="BZ4" s="162">
        <v>1412895.3399499999</v>
      </c>
      <c r="CB4" s="84" t="e">
        <f>"&gt;$10b (" &amp; TEXT(CC4,"0%") &amp; ")"</f>
        <v>#DIV/0!</v>
      </c>
      <c r="CC4" s="163" t="e" cm="1">
        <f t="array" ref="CC4">SUMPRODUCT((CJ$3:CJ$15&gt;=10000000000)*CK$3:CK$15)</f>
        <v>#DIV/0!</v>
      </c>
      <c r="CD4" s="56" t="s">
        <v>276</v>
      </c>
      <c r="CE4" s="56" t="s">
        <v>277</v>
      </c>
      <c r="CF4" s="56" t="s">
        <v>278</v>
      </c>
      <c r="CG4" s="150">
        <v>5.4955812545733819E-2</v>
      </c>
      <c r="CI4" s="151" cm="1">
        <f t="array" ref="CI4">_xll.BDP(CF4,"CUR_MKT_CAP","CURRENCY","AUD")</f>
        <v>110529938395.65999</v>
      </c>
      <c r="CJ4" s="151">
        <v>118757636055.37999</v>
      </c>
      <c r="CK4" s="152" t="e">
        <f>CG4/$CG$16</f>
        <v>#DIV/0!</v>
      </c>
    </row>
    <row r="5" spans="1:134" s="56" customFormat="1" ht="15.5">
      <c r="A5" s="132">
        <v>45900</v>
      </c>
      <c r="B5" s="133">
        <v>1.0504</v>
      </c>
      <c r="C5" s="134">
        <f>B5/B4-1</f>
        <v>2.3183323592441019E-2</v>
      </c>
      <c r="D5" s="134">
        <f>((1+C5)*(1+D4))-1</f>
        <v>5.04E-2</v>
      </c>
      <c r="E5" s="134">
        <f>((1+C5)*(1+C4)*(1+C3)-1)</f>
        <v>5.04E-2</v>
      </c>
      <c r="F5" s="134">
        <f t="shared" ref="F5" si="4">D5</f>
        <v>5.04E-2</v>
      </c>
      <c r="G5" s="134">
        <f t="shared" ref="G5" si="5">D5</f>
        <v>5.04E-2</v>
      </c>
      <c r="H5" s="135">
        <f>((1+D5)^(365/(_xlfn.DAYS(A5,"1/07/2025"))))-1</f>
        <v>0.34207937198549043</v>
      </c>
      <c r="I5" s="134">
        <f>IFERROR(_xlfn.STDEV.S($C$4:C5)*SQRT(12),"")</f>
        <v>8.3691138147248961E-3</v>
      </c>
      <c r="J5" s="136" t="str">
        <f>IFERROR(SUMIF(C$4:C5,"&gt;0",C$4:C5)/ABS(SUMIF(C$4:C5,"&lt;0",C$4:C5)),"")</f>
        <v/>
      </c>
      <c r="K5" s="153" t="str">
        <f>IFERROR(AVERAGE($AG$4:AG5)/AK5*SQRT(12),"")</f>
        <v/>
      </c>
      <c r="L5" s="136">
        <f>IFERROR(AVERAGE($AG$4:AG5)/_xlfn.STDEV.S($AG$4:AG5)*SQRT(12),"")</f>
        <v>33.276310483010022</v>
      </c>
      <c r="M5" s="134">
        <f>MAX($C$4:C5)</f>
        <v>2.6599999999999957E-2</v>
      </c>
      <c r="N5" s="134">
        <f>MIN($C$4:C5)</f>
        <v>2.3183323592441019E-2</v>
      </c>
      <c r="O5" s="135">
        <f>IFERROR(AVERAGEIF($S$4:S5,"&gt;0",$C$4:C5)/AVERAGEIF($S$4:S5,"&gt;0",$S$4:S5),"")</f>
        <v>1.2531381706535767</v>
      </c>
      <c r="P5" s="153" t="str">
        <f>IFERROR(AVERAGEIF($S$4:S5,"&lt;0",$C$4:C5)/AVERAGEIF($S$4:S5,"&lt;0",$S$4:S5),"-")</f>
        <v>-</v>
      </c>
      <c r="Q5" s="138">
        <f>IFERROR(SLOPE($C$4:C5,$S$4:S5),"")</f>
        <v>0.14423486072004843</v>
      </c>
      <c r="R5" s="139">
        <f>[1]Benchmarks!C5</f>
        <v>442.46</v>
      </c>
      <c r="S5" s="134">
        <f t="shared" ref="S5:S8" si="6">R5/R4-1</f>
        <v>8.0193192691484505E-3</v>
      </c>
      <c r="T5" s="134">
        <f t="shared" ref="T5" si="7">((1+S5)*(1+T4))-1</f>
        <v>3.9981196380303397E-2</v>
      </c>
      <c r="U5" s="135"/>
      <c r="V5" s="137">
        <f t="shared" si="0"/>
        <v>0.25959430862843158</v>
      </c>
      <c r="W5" s="134">
        <f>IFERROR(STDEV($S$4:S5),"")</f>
        <v>1.6750146565428777E-2</v>
      </c>
      <c r="X5" s="136" t="str">
        <f>IFERROR(SUMIF(S$4:S5,"&gt;0",S$4:S5)/ABS(SUMIF(S$4:S5,"&lt;0",S$4:S5)),"")</f>
        <v/>
      </c>
      <c r="Y5" s="153" t="str">
        <f>IFERROR(AVERAGE($AV$4:AV5)/AZ5*SQRT(12),"")</f>
        <v/>
      </c>
      <c r="Z5" s="136">
        <f>IFERROR(AVERAGE($AV$4:AV5)/_xlfn.STDEV.S($AV$4:AV5)*SQRT(12),"")</f>
        <v>3.506533943562582</v>
      </c>
      <c r="AA5" s="134">
        <f>MAX($S$4:S5)</f>
        <v>3.1707603713714949E-2</v>
      </c>
      <c r="AB5" s="134">
        <f>MIN($S$4:S5)</f>
        <v>8.0193192691484505E-3</v>
      </c>
      <c r="AC5" s="135"/>
      <c r="AD5" s="134">
        <v>0</v>
      </c>
      <c r="AE5" s="134">
        <v>3.5999999999999997E-2</v>
      </c>
      <c r="AF5" s="134">
        <f t="shared" ref="AF5:AF8" si="8">((1+AE5)^(1/12))-1</f>
        <v>2.9516094330215292E-3</v>
      </c>
      <c r="AG5" s="135">
        <f>C5-AF5</f>
        <v>2.0231714159419489E-2</v>
      </c>
      <c r="AH5" s="135">
        <f>G5-(AF5*12)</f>
        <v>1.498068680374165E-2</v>
      </c>
      <c r="AI5" s="134" t="str">
        <f>IF(AG5&lt;0, AG5, "")</f>
        <v/>
      </c>
      <c r="AJ5" s="134">
        <f t="shared" ref="AJ5:AJ8" si="9">IFERROR(AI5*AI5,0)</f>
        <v>0</v>
      </c>
      <c r="AK5" s="134" cm="1">
        <f t="array" ref="AK5">IFERROR(SQRT(AVERAGE(IF($AG$4:AG5&lt;0,($AG$4:AG5)^2,0))),"")</f>
        <v>0</v>
      </c>
      <c r="AL5" s="134">
        <f t="shared" ref="AL5:AL8" si="10">IFERROR(AK5*SQRT(12),"")</f>
        <v>0</v>
      </c>
      <c r="AM5" s="134">
        <f>IFERROR(AVERAGE($AG$4:AG5),"")</f>
        <v>2.1839319975472726E-2</v>
      </c>
      <c r="AN5" s="134">
        <f>IFERROR(_xlfn.STDEV.S($AG$4:AG5),"")</f>
        <v>2.2734979480123546E-3</v>
      </c>
      <c r="AO5" s="136">
        <f t="shared" ref="AO5:AO8" si="11">IFERROR(AM5/AN5*SQRT(12),"")</f>
        <v>33.276310483010022</v>
      </c>
      <c r="AP5" s="134">
        <f>IFERROR(CORREL($C$4:C5,$S$4:S5),"")</f>
        <v>1</v>
      </c>
      <c r="AQ5" s="134">
        <f>IFERROR(RSQ($C$4:C5,$S$4:S5),"")</f>
        <v>1</v>
      </c>
      <c r="AR5" s="134" cm="1">
        <f t="array" ref="AR5">IFERROR(_xlfn.STDEV.S($C$4:C5-$S$4:S5)*SQRT(12),"")</f>
        <v>4.9655095956371055E-2</v>
      </c>
      <c r="AS5" s="134" cm="1">
        <f t="array" ref="AS5">IFERROR((AVERAGE($C$4:C5-$S$4:S5)*12)/(_xlfn.STDEV.S($C$4:C5-$S$4:S5)*SQRT(12)),"")</f>
        <v>1.2151502780395627</v>
      </c>
      <c r="AT5" s="134"/>
      <c r="AU5" s="135"/>
      <c r="AV5" s="135">
        <f>S5-AF5</f>
        <v>5.0677098361269213E-3</v>
      </c>
      <c r="AW5" s="135">
        <f>U5-(AF5*12)</f>
        <v>-3.5419313196258351E-2</v>
      </c>
      <c r="AX5" s="134" t="str">
        <f t="shared" si="1"/>
        <v/>
      </c>
      <c r="AY5" s="134">
        <f t="shared" si="2"/>
        <v>0</v>
      </c>
      <c r="AZ5" s="134" cm="1">
        <f t="array" ref="AZ5">IFERROR(SQRT(AVERAGE(IF($AV$4:AV5&lt;0,($AV$4:AV5)^2,0))),"")</f>
        <v>0</v>
      </c>
      <c r="BA5" s="134">
        <f t="shared" ref="BA5:BA8" si="12">IFERROR(AZ5*SQRT(12),"")</f>
        <v>0</v>
      </c>
      <c r="BB5" s="134">
        <f t="shared" si="3"/>
        <v>2.5681682983177548E-5</v>
      </c>
      <c r="BC5" s="134">
        <f>IFERROR(_xlfn.STDEV.S($AV$4:AV5),"")</f>
        <v>1.6607689456536116E-2</v>
      </c>
      <c r="BD5" s="134">
        <f t="shared" ref="BD5:BD8" si="13">IFERROR(BC5*SQRT(12),"")</f>
        <v>5.7530723870093017E-2</v>
      </c>
      <c r="BE5" s="135"/>
      <c r="BF5" s="140"/>
      <c r="BG5" s="141"/>
      <c r="BH5" s="142"/>
      <c r="BI5" s="135">
        <f>BN5/BK5</f>
        <v>0.63426789511730897</v>
      </c>
      <c r="BJ5" s="135">
        <f>AVERAGE($BI$4:BI5)</f>
        <v>0.69968228508953856</v>
      </c>
      <c r="BK5" s="143">
        <v>16535083</v>
      </c>
      <c r="BL5" s="143">
        <v>6363581</v>
      </c>
      <c r="BM5" s="143">
        <v>1778665</v>
      </c>
      <c r="BN5" s="143">
        <v>10487672.289999999</v>
      </c>
      <c r="BO5" s="144">
        <f>BL5+BM5</f>
        <v>8142246</v>
      </c>
      <c r="BP5" s="144">
        <f>BL5-BM5</f>
        <v>4584916</v>
      </c>
      <c r="BQ5" s="137">
        <f t="shared" ref="BQ5:BQ8" si="14">BL5/BK5</f>
        <v>0.38485328437722388</v>
      </c>
      <c r="BR5" s="137">
        <f t="shared" ref="BR5:BR8" si="15">-BM5/BK5</f>
        <v>-0.10756916067491164</v>
      </c>
      <c r="BS5" s="137">
        <f>BO5/BK5</f>
        <v>0.4924224450521355</v>
      </c>
      <c r="BT5" s="137">
        <f>BP5/BK5</f>
        <v>0.2772841237023122</v>
      </c>
      <c r="BU5" s="137">
        <f>AVERAGE($BS$4:BS5)</f>
        <v>0.36366282714968928</v>
      </c>
      <c r="BV5" s="137">
        <f>AVERAGE($BT$4:BT5)</f>
        <v>0.25223582229668418</v>
      </c>
      <c r="BW5" s="145"/>
      <c r="BX5" s="161" t="s">
        <v>279</v>
      </c>
      <c r="BY5" s="147" t="e">
        <f>BZ5/$BZ$11</f>
        <v>#DIV/0!</v>
      </c>
      <c r="BZ5" s="162">
        <v>1399028.1584000001</v>
      </c>
      <c r="CB5" s="84" t="e">
        <f>"$1b-$10b (" &amp; TEXT(CC5,"0%") &amp; ")"</f>
        <v>#DIV/0!</v>
      </c>
      <c r="CC5" s="149" t="e" cm="1">
        <f t="array" ref="CC5">SUMPRODUCT((CJ$3:CJ$15&gt;=1000000000)*(CJ$3:CJ$15&lt;10000000000)*CK$3:CK$15)</f>
        <v>#DIV/0!</v>
      </c>
      <c r="CD5" s="56" t="s">
        <v>280</v>
      </c>
      <c r="CE5" s="56" t="s">
        <v>281</v>
      </c>
      <c r="CF5" s="56" t="s">
        <v>282</v>
      </c>
      <c r="CG5" s="150">
        <v>5.1390241950458111E-2</v>
      </c>
      <c r="CI5" s="151" cm="1">
        <f t="array" ref="CI5">_xll.BDP(CF5,"CUR_MKT_CAP","CURRENCY","AUD")</f>
        <v>2956829921952.3003</v>
      </c>
      <c r="CJ5" s="151">
        <v>3149566246860</v>
      </c>
      <c r="CK5" s="152" t="e">
        <f>CG5/$CG$16</f>
        <v>#DIV/0!</v>
      </c>
    </row>
    <row r="6" spans="1:134" s="56" customFormat="1" ht="15.5">
      <c r="A6" s="132">
        <v>45930</v>
      </c>
      <c r="B6" s="133">
        <v>1.085396</v>
      </c>
      <c r="C6" s="134">
        <f>B6/B5-1</f>
        <v>3.3316831683168235E-2</v>
      </c>
      <c r="D6" s="134">
        <f>((1+C6)*(1+D5))-1</f>
        <v>8.5395999999999805E-2</v>
      </c>
      <c r="E6" s="134">
        <f t="shared" ref="E6:E8" si="16">((1+C6)*(1+C5)*(1+C4)-1)</f>
        <v>8.5395999999999805E-2</v>
      </c>
      <c r="F6" s="134">
        <f>D6</f>
        <v>8.5395999999999805E-2</v>
      </c>
      <c r="G6" s="134">
        <f>D6</f>
        <v>8.5395999999999805E-2</v>
      </c>
      <c r="H6" s="135">
        <f>((1+D6)^(365/(_xlfn.DAYS(A6,"1/07/2025"))))-1</f>
        <v>0.38913337687433036</v>
      </c>
      <c r="I6" s="134">
        <f>IFERROR(_xlfn.STDEV.S($C$4:C6)*SQRT(12),"")</f>
        <v>1.785931083546154E-2</v>
      </c>
      <c r="J6" s="136" t="str">
        <f>IFERROR(SUMIF(C$4:C6,"&gt;0",C$4:C6)/ABS(SUMIF(C$4:C6,"&lt;0",C$4:C6)),"")</f>
        <v/>
      </c>
      <c r="K6" s="153" t="str">
        <f>IFERROR(AVERAGE($AG$4:AG6)/AK6*SQRT(12),"")</f>
        <v/>
      </c>
      <c r="L6" s="136">
        <f>IFERROR(AVERAGE($AG$4:AG6)/_xlfn.STDEV.S($AG$4:AG6)*SQRT(12),"")</f>
        <v>16.510935992589282</v>
      </c>
      <c r="M6" s="134">
        <f>MAX($C$4:C6)</f>
        <v>3.3316831683168235E-2</v>
      </c>
      <c r="N6" s="134">
        <f>MIN($C$4:C6)</f>
        <v>2.3183323592441019E-2</v>
      </c>
      <c r="O6" s="135">
        <f>IFERROR(AVERAGEIF($S$4:S6,"&gt;0",$C$4:C6)/AVERAGEIF($S$4:S6,"&gt;0",$S$4:S6),"")</f>
        <v>1.3175095137736863</v>
      </c>
      <c r="P6" s="153" t="str">
        <f>IFERROR(AVERAGEIF($S$4:S6,"&lt;0",$C$4:C6)/AVERAGEIF($S$4:S6,"&lt;0",$S$4:S6),"-")</f>
        <v>-</v>
      </c>
      <c r="Q6" s="138">
        <f>IFERROR(SLOPE($C$4:C6,$S$4:S6),"")</f>
        <v>0.20797204045248729</v>
      </c>
      <c r="R6" s="139">
        <f>[1]Benchmarks!C6</f>
        <v>452.79</v>
      </c>
      <c r="S6" s="134">
        <f t="shared" si="6"/>
        <v>2.334674320842578E-2</v>
      </c>
      <c r="T6" s="134">
        <f>((1+S6)*(1+T5))-1</f>
        <v>6.4261370313785759E-2</v>
      </c>
      <c r="U6" s="135"/>
      <c r="V6" s="137">
        <f t="shared" si="0"/>
        <v>0.28029834869624226</v>
      </c>
      <c r="W6" s="134">
        <f>IFERROR(STDEV($S$4:S6),"")</f>
        <v>1.2013663977113219E-2</v>
      </c>
      <c r="X6" s="136" t="str">
        <f>IFERROR(SUMIF(S$4:S6,"&gt;0",S$4:S6)/ABS(SUMIF(S$4:S6,"&lt;0",S$4:S6)),"")</f>
        <v/>
      </c>
      <c r="Y6" s="153" t="str">
        <f>IFERROR(AVERAGE($AV$4:AV6)/AZ6*SQRT(12),"")</f>
        <v/>
      </c>
      <c r="Z6" s="136">
        <f>IFERROR(AVERAGE($AV$4:AV6)/_xlfn.STDEV.S($AV$4:AV6)*SQRT(12),"")</f>
        <v>5.2308134019704857</v>
      </c>
      <c r="AA6" s="134">
        <f>MAX($S$4:S6)</f>
        <v>3.1707603713714949E-2</v>
      </c>
      <c r="AB6" s="134">
        <f>MIN($S$4:S6)</f>
        <v>8.0193192691484505E-3</v>
      </c>
      <c r="AC6" s="135"/>
      <c r="AD6" s="134">
        <v>0</v>
      </c>
      <c r="AE6" s="134">
        <v>3.5999999999999997E-2</v>
      </c>
      <c r="AF6" s="134">
        <f t="shared" si="8"/>
        <v>2.9516094330215292E-3</v>
      </c>
      <c r="AG6" s="135">
        <f>C6-AF6</f>
        <v>3.0365222250146706E-2</v>
      </c>
      <c r="AH6" s="135">
        <f>G6-(AF6*12)</f>
        <v>4.9976686803741455E-2</v>
      </c>
      <c r="AI6" s="134" t="str">
        <f t="shared" ref="AI6:AI8" si="17">IF(AG6&lt;0, AG6, "")</f>
        <v/>
      </c>
      <c r="AJ6" s="134">
        <f t="shared" si="9"/>
        <v>0</v>
      </c>
      <c r="AK6" s="134" cm="1">
        <f t="array" ref="AK6">IFERROR(SQRT(AVERAGE(IF($AG$4:AG6&lt;0,($AG$4:AG6)^2,0))),"")</f>
        <v>0</v>
      </c>
      <c r="AL6" s="134">
        <f t="shared" si="10"/>
        <v>0</v>
      </c>
      <c r="AM6" s="134">
        <f>IFERROR(AVERAGE($AG$4:AG6),"")</f>
        <v>2.4681287400364054E-2</v>
      </c>
      <c r="AN6" s="134">
        <f>IFERROR(_xlfn.STDEV.S($AG$4:AG6),"")</f>
        <v>5.178294409575273E-3</v>
      </c>
      <c r="AO6" s="136">
        <f t="shared" si="11"/>
        <v>16.510935992589282</v>
      </c>
      <c r="AP6" s="134">
        <f>IFERROR(CORREL($C$4:C6,$S$4:S6),"")</f>
        <v>0.48462560954436296</v>
      </c>
      <c r="AQ6" s="134">
        <f>IFERROR(RSQ($C$4:C6,$S$4:S6),"")</f>
        <v>0.23486198142624545</v>
      </c>
      <c r="AR6" s="134" cm="1">
        <f t="array" ref="AR6">IFERROR(_xlfn.STDEV.S($C$4:C6-$S$4:S6)*SQRT(12),"")</f>
        <v>3.6476064918731579E-2</v>
      </c>
      <c r="AS6" s="134" cm="1">
        <f t="array" ref="AS6">IFERROR((AVERAGE($C$4:C6-$S$4:S6)*12)/(_xlfn.STDEV.S($C$4:C6-$S$4:S6)*SQRT(12)),"")</f>
        <v>2.1961238558971656</v>
      </c>
      <c r="AT6" s="134"/>
      <c r="AU6" s="135"/>
      <c r="AV6" s="135">
        <f>S6-AF6</f>
        <v>2.0395133775404251E-2</v>
      </c>
      <c r="AW6" s="135">
        <f>U6-(AF6*12)</f>
        <v>-3.5419313196258351E-2</v>
      </c>
      <c r="AX6" s="134" t="str">
        <f t="shared" si="1"/>
        <v/>
      </c>
      <c r="AY6" s="134">
        <f t="shared" si="2"/>
        <v>0</v>
      </c>
      <c r="AZ6" s="134" cm="1">
        <f t="array" ref="AZ6">IFERROR(SQRT(AVERAGE(IF($AV$4:AV6&lt;0,($AV$4:AV6)^2,0))),"")</f>
        <v>0</v>
      </c>
      <c r="BA6" s="134">
        <f t="shared" si="12"/>
        <v>0</v>
      </c>
      <c r="BB6" s="134">
        <f t="shared" si="3"/>
        <v>4.1596148171663523E-4</v>
      </c>
      <c r="BC6" s="134">
        <f>IFERROR(_xlfn.STDEV.S($AV$4:AV6),"")</f>
        <v>1.1924319417754984E-2</v>
      </c>
      <c r="BD6" s="134">
        <f t="shared" si="13"/>
        <v>4.1307054154463528E-2</v>
      </c>
      <c r="BE6" s="135"/>
      <c r="BF6" s="140"/>
      <c r="BG6" s="141"/>
      <c r="BH6" s="142"/>
      <c r="BI6" s="135">
        <f>BN6/BK6</f>
        <v>0.64644687379893429</v>
      </c>
      <c r="BJ6" s="135">
        <f>AVERAGE($BI$4:BI6)</f>
        <v>0.68193714799267047</v>
      </c>
      <c r="BK6" s="143">
        <v>17156638</v>
      </c>
      <c r="BL6" s="143">
        <v>7772590</v>
      </c>
      <c r="BM6" s="143">
        <v>4351270</v>
      </c>
      <c r="BN6" s="143">
        <v>11090855</v>
      </c>
      <c r="BO6" s="144">
        <f>BL6+BM6</f>
        <v>12123860</v>
      </c>
      <c r="BP6" s="144">
        <f>BL6-BM6</f>
        <v>3421320</v>
      </c>
      <c r="BQ6" s="137">
        <f t="shared" si="14"/>
        <v>0.45303689452444007</v>
      </c>
      <c r="BR6" s="137">
        <f t="shared" si="15"/>
        <v>-0.25362020227972404</v>
      </c>
      <c r="BS6" s="137">
        <f>BO6/BK6</f>
        <v>0.70665709680416411</v>
      </c>
      <c r="BT6" s="137">
        <f>BP6/BK6</f>
        <v>0.199416692244716</v>
      </c>
      <c r="BU6" s="137">
        <f>AVERAGE($BS$4:BS6)</f>
        <v>0.4779942503678476</v>
      </c>
      <c r="BV6" s="137">
        <f>AVERAGE($BT$4:BT6)</f>
        <v>0.2346294456126948</v>
      </c>
      <c r="BW6" s="145"/>
      <c r="BX6" s="158" t="s">
        <v>96</v>
      </c>
      <c r="BY6" s="147" t="e">
        <f>BZ6/$BZ$11</f>
        <v>#DIV/0!</v>
      </c>
      <c r="BZ6" s="162">
        <v>1250122.2307104699</v>
      </c>
      <c r="CB6" s="84" t="e">
        <f>"$500m-$1b (" &amp; TEXT(CC6,"0%") &amp; ")"</f>
        <v>#DIV/0!</v>
      </c>
      <c r="CC6" s="149" t="e" cm="1">
        <f t="array" ref="CC6">SUMPRODUCT((CJ$3:CJ$15&gt;=500000000)*(CJ$3:CJ$15&lt;1000000000)*CK$3:CK$15)</f>
        <v>#DIV/0!</v>
      </c>
      <c r="CD6" s="56" t="s">
        <v>248</v>
      </c>
      <c r="CE6" s="56" t="s">
        <v>283</v>
      </c>
      <c r="CF6" s="56" t="s">
        <v>284</v>
      </c>
      <c r="CG6" s="150">
        <v>4.7334742913622177E-2</v>
      </c>
      <c r="CI6" s="151" cm="1">
        <f t="array" ref="CI6">_xll.BDP(CF6,"CUR_MKT_CAP","CURRENCY","AUD")</f>
        <v>51088575.100000001</v>
      </c>
      <c r="CJ6" s="151">
        <v>42689751.085000001</v>
      </c>
      <c r="CK6" s="152" t="e">
        <f>CG6/$CG$16</f>
        <v>#DIV/0!</v>
      </c>
    </row>
    <row r="7" spans="1:134" s="56" customFormat="1" ht="15.5">
      <c r="A7" s="132">
        <v>45961</v>
      </c>
      <c r="B7" s="133">
        <f>[2]Monthly!$G$41</f>
        <v>1.1200237411717677</v>
      </c>
      <c r="C7" s="134">
        <f>B7/B6-1</f>
        <v>3.1903324843437497E-2</v>
      </c>
      <c r="D7" s="134">
        <f>((1+C7)*(1+D6))-1</f>
        <v>0.12002374117176751</v>
      </c>
      <c r="E7" s="134">
        <f t="shared" si="16"/>
        <v>9.1003059781577633E-2</v>
      </c>
      <c r="F7" s="134">
        <f>D7</f>
        <v>0.12002374117176751</v>
      </c>
      <c r="G7" s="134">
        <f>D7</f>
        <v>0.12002374117176751</v>
      </c>
      <c r="H7" s="135">
        <f>((1+D7)^(365/(_xlfn.DAYS(A7,"1/07/2025"))))-1</f>
        <v>0.40371255294551722</v>
      </c>
      <c r="I7" s="134">
        <f>IFERROR(_xlfn.STDEV.S($C$4:C7)*SQRT(12),"")</f>
        <v>1.6298440709380285E-2</v>
      </c>
      <c r="J7" s="136" t="str">
        <f>IFERROR(SUMIF(C$4:C7,"&gt;0",C$4:C7)/ABS(SUMIF(C$4:C7,"&lt;0",C$4:C7)),"")</f>
        <v/>
      </c>
      <c r="K7" s="153" t="str">
        <f>IFERROR(AVERAGE($AG$4:AG7)/AK7*SQRT(12),"")</f>
        <v/>
      </c>
      <c r="L7" s="136">
        <f>IFERROR(AVERAGE($AG$4:AG7)/_xlfn.STDEV.S($AG$4:AG7)*SQRT(12),"")</f>
        <v>18.831291180530624</v>
      </c>
      <c r="M7" s="134">
        <f>MAX($C$4:C7)</f>
        <v>3.3316831683168235E-2</v>
      </c>
      <c r="N7" s="134">
        <f>MIN($C$4:C7)</f>
        <v>2.3183323592441019E-2</v>
      </c>
      <c r="O7" s="135">
        <f>IFERROR(AVERAGEIF($S$4:S7,"&gt;0",$C$4:C7)/AVERAGEIF($S$4:S7,"&gt;0",$S$4:S7),"")</f>
        <v>1.1722974145510086</v>
      </c>
      <c r="P7" s="153" t="str">
        <f>IFERROR(AVERAGEIF($S$4:S7,"&lt;0",$C$4:C7)/AVERAGEIF($S$4:S7,"&lt;0",$S$4:S7),"-")</f>
        <v>-</v>
      </c>
      <c r="Q7" s="138">
        <f>IFERROR(SLOPE($C$4:C7,$S$4:S7),"")</f>
        <v>0.23909151636201728</v>
      </c>
      <c r="R7" s="139">
        <f>[1]Benchmarks!C7</f>
        <v>468.65</v>
      </c>
      <c r="S7" s="134">
        <f t="shared" si="6"/>
        <v>3.5027275337352837E-2</v>
      </c>
      <c r="T7" s="134">
        <f>((1+S7)*(1+T6))-1</f>
        <v>0.10153954636267515</v>
      </c>
      <c r="U7" s="135"/>
      <c r="V7" s="137">
        <f t="shared" si="0"/>
        <v>0.3323993845492037</v>
      </c>
      <c r="W7" s="134">
        <f>IFERROR(STDEV($S$4:S7),"")</f>
        <v>1.2051464207084511E-2</v>
      </c>
      <c r="X7" s="136" t="str">
        <f>IFERROR(SUMIF(S$4:S7,"&gt;0",S$4:S7)/ABS(SUMIF(S$4:S7,"&lt;0",S$4:S7)),"")</f>
        <v/>
      </c>
      <c r="Y7" s="153" t="str">
        <f>IFERROR(AVERAGE($AV$4:AV7)/AZ7*SQRT(12),"")</f>
        <v/>
      </c>
      <c r="Z7" s="136">
        <f>IFERROR(AVERAGE($AV$4:AV7)/_xlfn.STDEV.S($AV$4:AV7)*SQRT(12),"")</f>
        <v>6.2071276417102865</v>
      </c>
      <c r="AA7" s="134">
        <f>MAX($S$4:S7)</f>
        <v>3.5027275337352837E-2</v>
      </c>
      <c r="AB7" s="134">
        <f>MIN($S$4:S7)</f>
        <v>8.0193192691484505E-3</v>
      </c>
      <c r="AC7" s="135"/>
      <c r="AD7" s="134">
        <v>0</v>
      </c>
      <c r="AE7" s="134">
        <v>3.5999999999999997E-2</v>
      </c>
      <c r="AF7" s="134">
        <f t="shared" si="8"/>
        <v>2.9516094330215292E-3</v>
      </c>
      <c r="AG7" s="135">
        <f>C7-AF7</f>
        <v>2.8951715410415968E-2</v>
      </c>
      <c r="AH7" s="135">
        <f>G7-(AF7*12)</f>
        <v>8.4604427975509156E-2</v>
      </c>
      <c r="AI7" s="134" t="str">
        <f t="shared" si="17"/>
        <v/>
      </c>
      <c r="AJ7" s="134">
        <f t="shared" si="9"/>
        <v>0</v>
      </c>
      <c r="AK7" s="134" cm="1">
        <f t="array" ref="AK7">IFERROR(SQRT(AVERAGE(IF($AG$4:AG7&lt;0,($AG$4:AG7)^2,0))),"")</f>
        <v>0</v>
      </c>
      <c r="AL7" s="134">
        <f t="shared" si="10"/>
        <v>0</v>
      </c>
      <c r="AM7" s="134">
        <f>IFERROR(AVERAGE($AG$4:AG7),"")</f>
        <v>2.5748894402877032E-2</v>
      </c>
      <c r="AN7" s="134">
        <f>IFERROR(_xlfn.STDEV.S($AG$4:AG7),"")</f>
        <v>4.7366261736336472E-3</v>
      </c>
      <c r="AO7" s="136">
        <f t="shared" si="11"/>
        <v>18.831291180530624</v>
      </c>
      <c r="AP7" s="134">
        <f>IFERROR(CORREL($C$4:C7,$S$4:S7),"")</f>
        <v>0.61241884731549301</v>
      </c>
      <c r="AQ7" s="134">
        <f>IFERROR(RSQ($C$4:C7,$S$4:S7),"")</f>
        <v>0.37505684454723687</v>
      </c>
      <c r="AR7" s="134" cm="1">
        <f t="array" ref="AR7">IFERROR(_xlfn.STDEV.S($C$4:C7-$S$4:S7)*SQRT(12),"")</f>
        <v>3.4279581152387911E-2</v>
      </c>
      <c r="AS7" s="134" cm="1">
        <f t="array" ref="AS7">IFERROR((AVERAGE($C$4:C7-$S$4:S7)*12)/(_xlfn.STDEV.S($C$4:C7-$S$4:S7)*SQRT(12)),"")</f>
        <v>1.4792367370475235</v>
      </c>
      <c r="AT7" s="134"/>
      <c r="AU7" s="135"/>
      <c r="AV7" s="135">
        <f>S7-AF7</f>
        <v>3.2075665904331307E-2</v>
      </c>
      <c r="AW7" s="135">
        <f>U7-(AF7*12)</f>
        <v>-3.5419313196258351E-2</v>
      </c>
      <c r="AX7" s="134" t="str">
        <f t="shared" si="1"/>
        <v/>
      </c>
      <c r="AY7" s="134">
        <f t="shared" si="2"/>
        <v>0</v>
      </c>
      <c r="AZ7" s="134" cm="1">
        <f t="array" ref="AZ7">IFERROR(SQRT(AVERAGE(IF($AV$4:AV7&lt;0,($AV$4:AV7)^2,0))),"")</f>
        <v>0</v>
      </c>
      <c r="BA7" s="134">
        <f t="shared" si="12"/>
        <v>0</v>
      </c>
      <c r="BB7" s="134">
        <f t="shared" si="3"/>
        <v>1.0288483432062819E-3</v>
      </c>
      <c r="BC7" s="134">
        <f>IFERROR(_xlfn.STDEV.S($AV$4:AV7),"")</f>
        <v>1.201179727322909E-2</v>
      </c>
      <c r="BD7" s="134">
        <f t="shared" si="13"/>
        <v>4.1610086334900161E-2</v>
      </c>
      <c r="BE7" s="135"/>
      <c r="BF7" s="140"/>
      <c r="BG7" s="141"/>
      <c r="BH7" s="142"/>
      <c r="BI7" s="135">
        <f>BN7/BK7</f>
        <v>0.77467030468394726</v>
      </c>
      <c r="BJ7" s="135">
        <f>AVERAGE($BI$4:BI7)</f>
        <v>0.70512043716548967</v>
      </c>
      <c r="BK7" s="143">
        <v>21990000</v>
      </c>
      <c r="BL7" s="143">
        <v>6370000</v>
      </c>
      <c r="BM7" s="143">
        <v>4171000</v>
      </c>
      <c r="BN7" s="143">
        <v>17035000</v>
      </c>
      <c r="BO7" s="144">
        <v>10574000</v>
      </c>
      <c r="BP7" s="144">
        <v>2231000</v>
      </c>
      <c r="BQ7" s="137">
        <f t="shared" si="14"/>
        <v>0.28967712596634831</v>
      </c>
      <c r="BR7" s="137">
        <f t="shared" si="15"/>
        <v>-0.18967712596634834</v>
      </c>
      <c r="BS7" s="137">
        <f>BO7/BK7</f>
        <v>0.48085493406093677</v>
      </c>
      <c r="BT7" s="137">
        <f>BP7/BK7</f>
        <v>0.10145520691223284</v>
      </c>
      <c r="BU7" s="137">
        <f>AVERAGE($BS$4:BS7)</f>
        <v>0.47870942129111987</v>
      </c>
      <c r="BV7" s="137">
        <f>AVERAGE($BT$4:BT7)</f>
        <v>0.20133588593757931</v>
      </c>
      <c r="BW7" s="145"/>
      <c r="BX7" s="146" t="s">
        <v>247</v>
      </c>
      <c r="BY7" s="147" t="e">
        <f>BZ7/$BZ$11</f>
        <v>#DIV/0!</v>
      </c>
      <c r="BZ7" s="148">
        <v>1006416.30252</v>
      </c>
      <c r="CB7" s="84" t="e">
        <f>"$500m-$1b (" &amp; TEXT(CC7,"0%") &amp; ")"</f>
        <v>#DIV/0!</v>
      </c>
      <c r="CC7" s="149" t="e" cm="1">
        <f t="array" ref="CC7">SUMPRODUCT((CJ$3:CJ$15&gt;=500000000)*(CJ$3:CJ$15&lt;1000000000)*CK$3:CK$15)</f>
        <v>#DIV/0!</v>
      </c>
      <c r="CD7" s="56" t="s">
        <v>248</v>
      </c>
      <c r="CE7" s="56" t="s">
        <v>249</v>
      </c>
      <c r="CF7" s="56" t="s">
        <v>250</v>
      </c>
      <c r="CG7" s="150">
        <v>4.7334742913622177E-2</v>
      </c>
      <c r="CI7" s="151" cm="1">
        <f t="array" ref="CI7">_xll.BDP(CF7,"CUR_MKT_CAP","CURRENCY","AUD")</f>
        <v>41020148249.550003</v>
      </c>
      <c r="CJ7" s="151">
        <v>34799002284.599998</v>
      </c>
      <c r="CK7" s="152" t="e">
        <f t="shared" ref="CK7:CK8" si="18">CG7/$CG$16</f>
        <v>#DIV/0!</v>
      </c>
    </row>
    <row r="8" spans="1:134" s="56" customFormat="1" ht="15.5">
      <c r="A8" s="132">
        <v>45991</v>
      </c>
      <c r="B8" s="133">
        <f>[2]Monthly!$H$41</f>
        <v>1.1169995713674072</v>
      </c>
      <c r="C8" s="134">
        <f>B8/B7-1</f>
        <v>-2.7000943758537232E-3</v>
      </c>
      <c r="D8" s="134">
        <f>((1+C8)*(1+D7))-1</f>
        <v>0.11699957136740702</v>
      </c>
      <c r="E8" s="134">
        <f t="shared" si="16"/>
        <v>6.340400929875023E-2</v>
      </c>
      <c r="F8" s="134">
        <f>D8</f>
        <v>0.11699957136740702</v>
      </c>
      <c r="G8" s="134">
        <f>D8</f>
        <v>0.11699957136740702</v>
      </c>
      <c r="H8" s="135">
        <f>((1+D8)^(365/(_xlfn.DAYS(A8,"1/07/2025"))))-1</f>
        <v>0.30433888942018061</v>
      </c>
      <c r="I8" s="134">
        <f>IFERROR(_xlfn.STDEV.S($C$4:C8)*SQRT(12),"")</f>
        <v>5.0726925454552985E-2</v>
      </c>
      <c r="J8" s="136">
        <f>IFERROR(SUMIF(C$4:C8,"&gt;0",C$4:C8)/ABS(SUMIF(C$4:C8,"&lt;0",C$4:C8)),"")</f>
        <v>42.59239275022918</v>
      </c>
      <c r="K8" s="136">
        <f>IFERROR(AVERAGE($AG$4:AG8)/AK8*SQRT(12),"")</f>
        <v>26.683012050339038</v>
      </c>
      <c r="L8" s="136">
        <f>IFERROR(AVERAGE($AG$4:AG8)/_xlfn.STDEV.S($AG$4:AG8)*SQRT(12),"")</f>
        <v>4.6099449429478758</v>
      </c>
      <c r="M8" s="134">
        <f>MAX($C$4:C8)</f>
        <v>3.3316831683168235E-2</v>
      </c>
      <c r="N8" s="134">
        <f>MIN($C$4:C8)</f>
        <v>-2.7000943758537232E-3</v>
      </c>
      <c r="O8" s="135">
        <f>IFERROR(AVERAGEIF($S$4:S8,"&gt;0",$C$4:C8)/AVERAGEIF($S$4:S8,"&gt;0",$S$4:S8),"")</f>
        <v>1.1722974145510086</v>
      </c>
      <c r="P8" s="137">
        <f>IFERROR(AVERAGEIF($S$4:S8,"&lt;0",$C$4:C8)/AVERAGEIF($S$4:S8,"&lt;0",$S$4:S8),"-")</f>
        <v>1.4379536695952804</v>
      </c>
      <c r="Q8" s="138">
        <f>IFERROR(SLOPE($C$4:C8,$S$4:S8),"")</f>
        <v>0.77359491498646449</v>
      </c>
      <c r="R8" s="139">
        <f>[1]Benchmarks!C8</f>
        <v>467.77</v>
      </c>
      <c r="S8" s="134">
        <f t="shared" si="6"/>
        <v>-1.8777339165688689E-3</v>
      </c>
      <c r="T8" s="134">
        <f>((1+S8)*(1+T7))-1</f>
        <v>9.9471148196027981E-2</v>
      </c>
      <c r="U8" s="135"/>
      <c r="V8" s="137">
        <f t="shared" si="0"/>
        <v>0.25385992970414772</v>
      </c>
      <c r="W8" s="134">
        <f>IFERROR(STDEV($S$4:S8),"")</f>
        <v>1.5759178268834592E-2</v>
      </c>
      <c r="X8" s="136">
        <f>IFERROR(SUMIF(S$4:S8,"&gt;0",S$4:S8)/ABS(SUMIF(S$4:S8,"&lt;0",S$4:S8)),"")</f>
        <v>52.244325281134159</v>
      </c>
      <c r="Y8" s="136">
        <f>IFERROR(AVERAGE($AV$4:AV8)/AZ8*SQRT(12),"")</f>
        <v>26.068383811536769</v>
      </c>
      <c r="Z8" s="136">
        <f>IFERROR(AVERAGE($AV$4:AV8)/_xlfn.STDEV.S($AV$4:AV8)*SQRT(12),"")</f>
        <v>3.5815989517710856</v>
      </c>
      <c r="AA8" s="134">
        <f>MAX($S$4:S8)</f>
        <v>3.5027275337352837E-2</v>
      </c>
      <c r="AB8" s="134">
        <f>MIN($S$4:S8)</f>
        <v>-1.8777339165688689E-3</v>
      </c>
      <c r="AC8" s="135"/>
      <c r="AD8" s="134">
        <v>0</v>
      </c>
      <c r="AE8" s="134">
        <v>3.5999999999999997E-2</v>
      </c>
      <c r="AF8" s="134">
        <f t="shared" si="8"/>
        <v>2.9516094330215292E-3</v>
      </c>
      <c r="AG8" s="135">
        <f>C8-AF8</f>
        <v>-5.6517038088752525E-3</v>
      </c>
      <c r="AH8" s="135">
        <f>G8-(AF8*12)</f>
        <v>8.1580258171148667E-2</v>
      </c>
      <c r="AI8" s="134">
        <f t="shared" si="17"/>
        <v>-5.6517038088752525E-3</v>
      </c>
      <c r="AJ8" s="134">
        <f t="shared" si="9"/>
        <v>3.194175594325504E-5</v>
      </c>
      <c r="AK8" s="134" cm="1">
        <f t="array" ref="AK8">IFERROR(SQRT(AVERAGE(IF($AG$4:AG8&lt;0,($AG$4:AG8)^2,0))),"")</f>
        <v>2.527518781067909E-3</v>
      </c>
      <c r="AL8" s="134">
        <f t="shared" si="10"/>
        <v>8.7555818917883516E-3</v>
      </c>
      <c r="AM8" s="134">
        <f>IFERROR(AVERAGE($AG$4:AG8),"")</f>
        <v>1.9468774760526573E-2</v>
      </c>
      <c r="AN8" s="134">
        <f>IFERROR(_xlfn.STDEV.S($AG$4:AG8),"")</f>
        <v>1.4629635478806153E-2</v>
      </c>
      <c r="AO8" s="136">
        <f t="shared" si="11"/>
        <v>4.6099449429478758</v>
      </c>
      <c r="AP8" s="134">
        <f>IFERROR(CORREL($C$4:C8,$S$4:S8),"")</f>
        <v>0.83252878257120233</v>
      </c>
      <c r="AQ8" s="134">
        <f>IFERROR(RSQ($C$4:C8,$S$4:S8),"")</f>
        <v>0.69310417380948808</v>
      </c>
      <c r="AR8" s="134" cm="1">
        <f t="array" ref="AR8">IFERROR(_xlfn.STDEV.S($C$4:C8-$S$4:S8)*SQRT(12),"")</f>
        <v>3.0699750390276954E-2</v>
      </c>
      <c r="AS8" s="134" cm="1">
        <f t="array" ref="AS8">IFERROR((AVERAGE($C$4:C8-$S$4:S8)*12)/(_xlfn.STDEV.S($C$4:C8-$S$4:S8)*SQRT(12)),"")</f>
        <v>1.257092550397751</v>
      </c>
      <c r="AT8" s="134"/>
      <c r="AU8" s="135"/>
      <c r="AV8" s="135">
        <f>S8-AF8</f>
        <v>-4.8293433495903981E-3</v>
      </c>
      <c r="AW8" s="135">
        <f>U8-(AF8*12)</f>
        <v>-3.5419313196258351E-2</v>
      </c>
      <c r="AX8" s="134">
        <f t="shared" si="1"/>
        <v>-4.8293433495903981E-3</v>
      </c>
      <c r="AY8" s="134">
        <f t="shared" si="2"/>
        <v>2.3322557188233006E-5</v>
      </c>
      <c r="AZ8" s="134" cm="1">
        <f t="array" ref="AZ8">IFERROR(SQRT(AVERAGE(IF($AV$4:AV8&lt;0,($AV$4:AV8)^2,0))),"")</f>
        <v>2.1597480032741322E-3</v>
      </c>
      <c r="BA8" s="134">
        <f t="shared" si="12"/>
        <v>7.4815865464324619E-3</v>
      </c>
      <c r="BB8" s="134">
        <f t="shared" si="3"/>
        <v>2.3322557188233006E-5</v>
      </c>
      <c r="BC8" s="134">
        <f>IFERROR(_xlfn.STDEV.S($AV$4:AV8),"")</f>
        <v>1.5719554490518702E-2</v>
      </c>
      <c r="BD8" s="134">
        <f t="shared" si="13"/>
        <v>5.4454134099851774E-2</v>
      </c>
      <c r="BE8" s="135"/>
      <c r="BF8" s="140"/>
      <c r="BG8" s="141"/>
      <c r="BH8" s="142"/>
      <c r="BI8" s="135">
        <f>BN8/BK8</f>
        <v>0.77467030468394726</v>
      </c>
      <c r="BJ8" s="135">
        <f>AVERAGE($BI$4:BI8)</f>
        <v>0.71903041066918116</v>
      </c>
      <c r="BK8" s="143">
        <v>21990000</v>
      </c>
      <c r="BL8" s="143">
        <v>6370000</v>
      </c>
      <c r="BM8" s="143">
        <v>4171000</v>
      </c>
      <c r="BN8" s="143">
        <v>17035000</v>
      </c>
      <c r="BO8" s="144">
        <v>10574000</v>
      </c>
      <c r="BP8" s="144">
        <v>2231000</v>
      </c>
      <c r="BQ8" s="137">
        <f t="shared" si="14"/>
        <v>0.28967712596634831</v>
      </c>
      <c r="BR8" s="137">
        <f t="shared" si="15"/>
        <v>-0.18967712596634834</v>
      </c>
      <c r="BS8" s="137">
        <f>BO8/BK8</f>
        <v>0.48085493406093677</v>
      </c>
      <c r="BT8" s="137">
        <f>BP8/BK8</f>
        <v>0.10145520691223284</v>
      </c>
      <c r="BU8" s="137">
        <f>AVERAGE($BS$4:BS8)</f>
        <v>0.47913852384508326</v>
      </c>
      <c r="BV8" s="137">
        <f>AVERAGE($BT$4:BT8)</f>
        <v>0.18135975013251002</v>
      </c>
      <c r="BW8" s="145"/>
      <c r="BX8" s="146" t="s">
        <v>247</v>
      </c>
      <c r="BY8" s="147" t="e">
        <f t="shared" ref="BY8" si="19">BZ8/$BZ$11</f>
        <v>#DIV/0!</v>
      </c>
      <c r="BZ8" s="148">
        <v>1006416.30252</v>
      </c>
      <c r="CB8" s="84" t="e">
        <f>"$500m-$1b (" &amp; TEXT(CC8,"0%") &amp; ")"</f>
        <v>#DIV/0!</v>
      </c>
      <c r="CC8" s="149" t="e" cm="1">
        <f t="array" ref="CC8">SUMPRODUCT((CJ$3:CJ$15&gt;=500000000)*(CJ$3:CJ$15&lt;1000000000)*CK$3:CK$15)</f>
        <v>#DIV/0!</v>
      </c>
      <c r="CD8" s="56" t="s">
        <v>248</v>
      </c>
      <c r="CE8" s="56" t="s">
        <v>249</v>
      </c>
      <c r="CF8" s="56" t="s">
        <v>250</v>
      </c>
      <c r="CG8" s="150">
        <v>4.7334742913622177E-2</v>
      </c>
      <c r="CI8" s="151" cm="1">
        <f t="array" ref="CI8">_xll.BDP(CF8,"CUR_MKT_CAP","CURRENCY","AUD")</f>
        <v>41020148249.550003</v>
      </c>
      <c r="CJ8" s="151">
        <v>34799002284.599998</v>
      </c>
      <c r="CK8" s="152" t="e">
        <f t="shared" si="18"/>
        <v>#DIV/0!</v>
      </c>
    </row>
    <row r="9" spans="1:134" ht="15.5">
      <c r="A9" s="68"/>
      <c r="B9" s="69"/>
      <c r="C9" s="70"/>
      <c r="D9" s="70"/>
      <c r="E9" s="70"/>
      <c r="F9" s="70"/>
      <c r="G9" s="70"/>
      <c r="H9" s="71"/>
      <c r="I9" s="70"/>
      <c r="J9" s="72"/>
      <c r="K9" s="73"/>
      <c r="L9" s="72"/>
      <c r="M9" s="70"/>
      <c r="N9" s="70"/>
      <c r="O9" s="71"/>
      <c r="P9" s="73"/>
      <c r="Q9" s="74"/>
      <c r="R9" s="71"/>
      <c r="S9" s="70"/>
      <c r="T9" s="70"/>
      <c r="U9" s="71"/>
      <c r="V9" s="108"/>
      <c r="W9" s="70"/>
      <c r="X9" s="72"/>
      <c r="Y9" s="72"/>
      <c r="Z9" s="72"/>
      <c r="AA9" s="71"/>
      <c r="AB9" s="71"/>
      <c r="AC9" s="71"/>
      <c r="AD9" s="70"/>
      <c r="AE9" s="70"/>
      <c r="AF9" s="71"/>
      <c r="AG9" s="71"/>
      <c r="AH9" s="70"/>
      <c r="AI9" s="70"/>
      <c r="AJ9" s="70"/>
      <c r="AK9" s="70"/>
      <c r="AL9" s="70"/>
      <c r="AM9" s="70"/>
      <c r="AN9" s="70"/>
      <c r="AO9" s="71"/>
      <c r="AP9" s="71"/>
      <c r="AQ9" s="71"/>
      <c r="AR9" s="70"/>
      <c r="AS9" s="70"/>
      <c r="AT9" s="70"/>
      <c r="AU9" s="70"/>
      <c r="AV9" s="70"/>
      <c r="AW9" s="70"/>
      <c r="AX9" s="70"/>
      <c r="AY9" s="71"/>
      <c r="AZ9" s="75"/>
      <c r="BA9" s="76"/>
      <c r="BB9" s="77"/>
      <c r="BC9" s="71"/>
      <c r="BD9" s="71"/>
      <c r="BE9" s="76"/>
      <c r="BF9" s="76"/>
      <c r="BG9" s="76"/>
      <c r="BH9" s="76"/>
      <c r="BI9" s="78"/>
      <c r="BJ9" s="79"/>
      <c r="BK9" s="78"/>
      <c r="BL9" s="78"/>
      <c r="BM9" s="80"/>
      <c r="BN9" s="80"/>
      <c r="BO9" s="80"/>
      <c r="BQ9" s="109" t="s">
        <v>106</v>
      </c>
      <c r="BR9" s="82">
        <v>0.25</v>
      </c>
      <c r="BS9" s="111">
        <v>3030428.1345500001</v>
      </c>
      <c r="BU9" s="84"/>
      <c r="BV9" s="84"/>
      <c r="BW9" s="84"/>
      <c r="BX9" s="84"/>
      <c r="BY9" s="84"/>
      <c r="BZ9" s="84"/>
      <c r="CA9" s="85" t="s">
        <v>245</v>
      </c>
      <c r="CB9" s="86" t="str">
        <f t="shared" ref="CB9:CB12" si="20">CA9&amp;"-NYS"</f>
        <v>SLB-NYS</v>
      </c>
      <c r="CC9" s="87">
        <v>3.8279999999999998</v>
      </c>
      <c r="CD9" s="88" t="e">
        <f ca="1">_xll.fdsb(CB9,"FREF_MARKET_VALUE_COMPANY(NOW,,,AUD,,0,,""LEGACY"")")</f>
        <v>#NAME?</v>
      </c>
      <c r="CE9" s="89" t="e">
        <f ca="1">_xll.fdsb(CB9,"P_VOLUME_AVG(-1AY,NOW)")</f>
        <v>#NAME?</v>
      </c>
      <c r="CF9" s="88" t="e">
        <f ca="1">_xll.fdsb(CB9,"FG_PRICE(NOW,NOW,,AUD)")</f>
        <v>#NAME?</v>
      </c>
      <c r="CG9" s="88" t="str">
        <f t="shared" ref="CG9:CG10" ca="1" si="21">IFERROR(CF9*CE9,"")</f>
        <v/>
      </c>
      <c r="CI9" s="113" t="s">
        <v>107</v>
      </c>
      <c r="CJ9" s="91">
        <f t="shared" ref="CJ9:CJ10" si="22">CC9/100</f>
        <v>3.8280000000000002E-2</v>
      </c>
      <c r="CK9" s="92">
        <v>47094.626185624897</v>
      </c>
      <c r="CL9" s="93">
        <v>15.835369999999999</v>
      </c>
      <c r="CM9" s="94">
        <v>33.831614999999999</v>
      </c>
      <c r="CN9" s="95">
        <v>535.73614122255003</v>
      </c>
      <c r="CO9" s="96">
        <f t="shared" ref="CO9:CO10" si="23">CN9*CJ9</f>
        <v>20.507979485999215</v>
      </c>
      <c r="CP9" s="97">
        <f t="shared" ref="CP9:CP12" si="24">CJ9</f>
        <v>3.8280000000000002E-2</v>
      </c>
      <c r="CQ9" s="98">
        <f t="shared" ref="CQ9:CQ12" si="25">CJ9*$CB$35</f>
        <v>11.484</v>
      </c>
      <c r="CR9" s="98">
        <f t="shared" ref="CR9:CR12" si="26">CQ9/CN9</f>
        <v>2.1435925479646581E-2</v>
      </c>
      <c r="CS9" s="99">
        <f t="shared" ref="CS9:CS12" si="27">CS8+1</f>
        <v>1</v>
      </c>
      <c r="CT9" s="112">
        <v>3</v>
      </c>
      <c r="CU9" s="90" t="s">
        <v>108</v>
      </c>
      <c r="CV9" s="90" t="s">
        <v>109</v>
      </c>
      <c r="CW9" s="90" t="s">
        <v>110</v>
      </c>
      <c r="CX9" s="114">
        <v>4.8231999999999997E-2</v>
      </c>
      <c r="CY9" s="100">
        <v>551.47670000000005</v>
      </c>
      <c r="CZ9" s="100">
        <v>778.44823602999998</v>
      </c>
      <c r="DA9" s="100">
        <v>778.44823602999998</v>
      </c>
      <c r="DB9" s="100">
        <v>6.83</v>
      </c>
      <c r="DC9" s="101">
        <v>0.26</v>
      </c>
      <c r="DD9" s="102">
        <v>0.34616150000000001</v>
      </c>
      <c r="DE9" s="102">
        <v>0.43013600000000002</v>
      </c>
      <c r="DF9" s="102">
        <v>0.40200000000000002</v>
      </c>
      <c r="DG9" s="103">
        <v>0.331390384615385</v>
      </c>
      <c r="DH9" s="104">
        <v>34.720669999999998</v>
      </c>
      <c r="DI9" s="104">
        <v>42.2</v>
      </c>
      <c r="DJ9" s="104">
        <v>55.721977000000003</v>
      </c>
      <c r="DK9" s="105">
        <v>0.21541433388238199</v>
      </c>
      <c r="DL9" s="106" t="s">
        <v>99</v>
      </c>
      <c r="DM9" s="84">
        <v>19.7306748439673</v>
      </c>
      <c r="DN9" s="107">
        <v>0.242587636117824</v>
      </c>
      <c r="DO9" s="84">
        <v>2.5413075574606099</v>
      </c>
      <c r="DP9" s="84">
        <v>16.250630999999998</v>
      </c>
      <c r="DQ9" s="106" t="s">
        <v>99</v>
      </c>
      <c r="DR9" s="107">
        <v>0.32042599526066301</v>
      </c>
      <c r="DS9" s="106">
        <v>5.5345828671305497E-2</v>
      </c>
      <c r="DT9" s="106" t="s">
        <v>99</v>
      </c>
      <c r="DU9" s="100" t="s">
        <v>100</v>
      </c>
      <c r="DV9" s="100" t="s">
        <v>111</v>
      </c>
      <c r="DW9" s="100" t="s">
        <v>112</v>
      </c>
      <c r="DX9" s="100" t="s">
        <v>113</v>
      </c>
      <c r="DY9" s="100"/>
      <c r="DZ9" s="100"/>
      <c r="EA9" s="100"/>
      <c r="EB9" s="100"/>
      <c r="EC9" s="100"/>
      <c r="ED9" s="100"/>
    </row>
    <row r="10" spans="1:134" ht="15.5">
      <c r="A10" s="68"/>
      <c r="B10" s="69"/>
      <c r="C10" s="70"/>
      <c r="D10" s="70"/>
      <c r="E10" s="70"/>
      <c r="F10" s="70"/>
      <c r="G10" s="70"/>
      <c r="H10" s="71"/>
      <c r="I10" s="70"/>
      <c r="J10" s="72"/>
      <c r="K10" s="73"/>
      <c r="L10" s="72"/>
      <c r="M10" s="70"/>
      <c r="N10" s="70"/>
      <c r="O10" s="71"/>
      <c r="P10" s="73"/>
      <c r="Q10" s="74"/>
      <c r="R10" s="71"/>
      <c r="S10" s="70"/>
      <c r="T10" s="70"/>
      <c r="U10" s="71"/>
      <c r="V10" s="108"/>
      <c r="W10" s="70"/>
      <c r="X10" s="72"/>
      <c r="Y10" s="72"/>
      <c r="Z10" s="72"/>
      <c r="AA10" s="71"/>
      <c r="AB10" s="71"/>
      <c r="AC10" s="71"/>
      <c r="AD10" s="70"/>
      <c r="AE10" s="70"/>
      <c r="AF10" s="71"/>
      <c r="AG10" s="71"/>
      <c r="AH10" s="70"/>
      <c r="AI10" s="70"/>
      <c r="AJ10" s="70"/>
      <c r="AK10" s="70"/>
      <c r="AL10" s="70"/>
      <c r="AM10" s="70"/>
      <c r="AN10" s="70"/>
      <c r="AO10" s="71"/>
      <c r="AP10" s="71"/>
      <c r="AQ10" s="71"/>
      <c r="AR10" s="70"/>
      <c r="AS10" s="70"/>
      <c r="AT10" s="70"/>
      <c r="AU10" s="70"/>
      <c r="AV10" s="70"/>
      <c r="AW10" s="70"/>
      <c r="AX10" s="70"/>
      <c r="AY10" s="71"/>
      <c r="AZ10" s="75"/>
      <c r="BA10" s="76"/>
      <c r="BB10" s="77"/>
      <c r="BC10" s="71"/>
      <c r="BD10" s="71"/>
      <c r="BE10" s="76"/>
      <c r="BF10" s="76"/>
      <c r="BG10" s="76"/>
      <c r="BH10" s="76"/>
      <c r="BI10" s="78"/>
      <c r="BJ10" s="79"/>
      <c r="BK10" s="78"/>
      <c r="BL10" s="78"/>
      <c r="BM10" s="80"/>
      <c r="BN10" s="80"/>
      <c r="BO10" s="80"/>
      <c r="BQ10" s="109" t="s">
        <v>114</v>
      </c>
      <c r="BR10" s="82">
        <v>0.54</v>
      </c>
      <c r="BS10" s="111">
        <v>10487672.2922324</v>
      </c>
      <c r="BU10" s="84"/>
      <c r="BV10" s="84"/>
      <c r="BW10" s="84"/>
      <c r="BX10" s="84"/>
      <c r="BY10" s="84"/>
      <c r="BZ10" s="84"/>
      <c r="CA10" s="85" t="s">
        <v>103</v>
      </c>
      <c r="CB10" s="86" t="str">
        <f t="shared" si="20"/>
        <v>TWTR-NYS</v>
      </c>
      <c r="CC10" s="87">
        <v>5.5955000000000004</v>
      </c>
      <c r="CD10" s="88" t="e">
        <f ca="1">_xll.fdsb(CB10,"FREF_MARKET_VALUE_COMPANY(NOW,,,AUD,,0,,""LEGACY"")")</f>
        <v>#NAME?</v>
      </c>
      <c r="CE10" s="89" t="e">
        <f ca="1">_xll.fdsb(CB10,"P_VOLUME_AVG(-1AY,NOW)")</f>
        <v>#NAME?</v>
      </c>
      <c r="CF10" s="88" t="e">
        <f ca="1">_xll.fdsb(CB10,"FG_PRICE(NOW,NOW,,AUD)")</f>
        <v>#NAME?</v>
      </c>
      <c r="CG10" s="88" t="str">
        <f t="shared" ca="1" si="21"/>
        <v/>
      </c>
      <c r="CI10" s="113" t="s">
        <v>115</v>
      </c>
      <c r="CJ10" s="91">
        <f t="shared" si="22"/>
        <v>5.5955000000000005E-2</v>
      </c>
      <c r="CK10" s="92">
        <v>48421.982684834402</v>
      </c>
      <c r="CL10" s="93">
        <v>19.870663</v>
      </c>
      <c r="CM10" s="94">
        <v>60.881382000000002</v>
      </c>
      <c r="CN10" s="95">
        <v>1209.75342469627</v>
      </c>
      <c r="CO10" s="96">
        <f t="shared" si="23"/>
        <v>67.691752878879797</v>
      </c>
      <c r="CP10" s="97">
        <f t="shared" si="24"/>
        <v>5.5955000000000005E-2</v>
      </c>
      <c r="CQ10" s="98">
        <f t="shared" si="25"/>
        <v>16.7865</v>
      </c>
      <c r="CR10" s="98">
        <f t="shared" si="26"/>
        <v>1.3875968157903373E-2</v>
      </c>
      <c r="CS10" s="99">
        <f t="shared" si="27"/>
        <v>2</v>
      </c>
      <c r="CT10" s="112">
        <v>4</v>
      </c>
      <c r="CU10" s="90" t="s">
        <v>116</v>
      </c>
      <c r="CV10" s="90" t="s">
        <v>117</v>
      </c>
      <c r="CW10" s="90" t="s">
        <v>118</v>
      </c>
      <c r="CX10" s="114">
        <v>5.1200000000000002E-2</v>
      </c>
      <c r="CY10" s="100">
        <v>717169.75</v>
      </c>
      <c r="CZ10" s="100">
        <v>723830.95172030898</v>
      </c>
      <c r="DA10" s="100">
        <v>723830.95172030898</v>
      </c>
      <c r="DB10" s="100">
        <v>267.25</v>
      </c>
      <c r="DC10" s="101">
        <v>7.4189214999999997</v>
      </c>
      <c r="DD10" s="102">
        <v>10.15762</v>
      </c>
      <c r="DE10" s="102">
        <v>12.35188</v>
      </c>
      <c r="DF10" s="102">
        <v>15.349785000000001</v>
      </c>
      <c r="DG10" s="103">
        <v>0.36915048905693398</v>
      </c>
      <c r="DH10" s="104">
        <v>21985.258000000002</v>
      </c>
      <c r="DI10" s="104">
        <v>32521.266</v>
      </c>
      <c r="DJ10" s="104">
        <v>41030.504000000001</v>
      </c>
      <c r="DK10" s="105">
        <v>0.47923058260221502</v>
      </c>
      <c r="DL10" s="106">
        <v>4.32903759165413E-2</v>
      </c>
      <c r="DM10" s="84">
        <v>26.310297097154699</v>
      </c>
      <c r="DN10" s="107">
        <v>0.21602107580318999</v>
      </c>
      <c r="DO10" s="84">
        <v>1.14745654636247</v>
      </c>
      <c r="DP10" s="84">
        <v>20.678830000000001</v>
      </c>
      <c r="DQ10" s="106">
        <v>0.30667264271557299</v>
      </c>
      <c r="DR10" s="107">
        <v>0.26165149905295798</v>
      </c>
      <c r="DS10" s="106">
        <v>0.23836720269700601</v>
      </c>
      <c r="DT10" s="106">
        <v>0.14281477000000001</v>
      </c>
      <c r="DU10" s="100" t="s">
        <v>119</v>
      </c>
      <c r="DV10" s="100" t="s">
        <v>105</v>
      </c>
      <c r="DW10" s="100" t="s">
        <v>120</v>
      </c>
      <c r="DX10" s="100" t="s">
        <v>121</v>
      </c>
      <c r="DY10" s="100"/>
      <c r="DZ10" s="100"/>
      <c r="EA10" s="100"/>
      <c r="EB10" s="100"/>
      <c r="EC10" s="100"/>
      <c r="ED10" s="100"/>
    </row>
    <row r="11" spans="1:134" ht="15.5">
      <c r="A11" s="68"/>
      <c r="B11" s="69"/>
      <c r="C11" s="70"/>
      <c r="D11" s="70"/>
      <c r="E11" s="70"/>
      <c r="F11" s="70"/>
      <c r="G11" s="70"/>
      <c r="H11" s="71"/>
      <c r="I11" s="70"/>
      <c r="J11" s="72"/>
      <c r="K11" s="73"/>
      <c r="L11" s="72"/>
      <c r="M11" s="70"/>
      <c r="N11" s="70"/>
      <c r="O11" s="71"/>
      <c r="P11" s="73"/>
      <c r="Q11" s="74"/>
      <c r="R11" s="71"/>
      <c r="S11" s="70"/>
      <c r="T11" s="70"/>
      <c r="U11" s="71"/>
      <c r="V11" s="108"/>
      <c r="W11" s="70"/>
      <c r="X11" s="72"/>
      <c r="Y11" s="72"/>
      <c r="Z11" s="72"/>
      <c r="AA11" s="71"/>
      <c r="AB11" s="71"/>
      <c r="AC11" s="71"/>
      <c r="AD11" s="70"/>
      <c r="AE11" s="70"/>
      <c r="AF11" s="71"/>
      <c r="AG11" s="71"/>
      <c r="AH11" s="70"/>
      <c r="AI11" s="70"/>
      <c r="AJ11" s="70"/>
      <c r="AK11" s="70"/>
      <c r="AL11" s="70"/>
      <c r="AM11" s="70"/>
      <c r="AN11" s="70"/>
      <c r="AO11" s="71"/>
      <c r="AP11" s="71"/>
      <c r="AQ11" s="71"/>
      <c r="AR11" s="70"/>
      <c r="AS11" s="70"/>
      <c r="AT11" s="70"/>
      <c r="AU11" s="70"/>
      <c r="AV11" s="70"/>
      <c r="AW11" s="70"/>
      <c r="AX11" s="70"/>
      <c r="AY11" s="71"/>
      <c r="AZ11" s="75"/>
      <c r="BA11" s="76"/>
      <c r="BB11" s="77"/>
      <c r="BC11" s="71"/>
      <c r="BD11" s="71"/>
      <c r="BE11" s="76"/>
      <c r="BF11" s="76"/>
      <c r="BG11" s="76"/>
      <c r="BH11" s="76"/>
      <c r="BI11" s="78"/>
      <c r="BJ11" s="79"/>
      <c r="BK11" s="78"/>
      <c r="BL11" s="78"/>
      <c r="BM11" s="80"/>
      <c r="BN11" s="80"/>
      <c r="BO11" s="80"/>
      <c r="BQ11" s="109"/>
      <c r="BR11" s="82"/>
      <c r="BS11" s="111"/>
      <c r="BU11" s="84"/>
      <c r="BV11" s="84"/>
      <c r="BW11" s="84"/>
      <c r="BX11" s="84"/>
      <c r="BY11" s="84"/>
      <c r="BZ11" s="84"/>
      <c r="CA11" s="85"/>
      <c r="CB11" s="86" t="str">
        <f t="shared" si="20"/>
        <v>-NYS</v>
      </c>
      <c r="CC11" s="87"/>
      <c r="CD11" s="88"/>
      <c r="CE11" s="89"/>
      <c r="CF11" s="88"/>
      <c r="CG11" s="88"/>
      <c r="CI11" s="113"/>
      <c r="CJ11" s="91"/>
      <c r="CK11" s="92"/>
      <c r="CL11" s="93"/>
      <c r="CM11" s="94"/>
      <c r="CN11" s="95"/>
      <c r="CO11" s="96"/>
      <c r="CP11" s="97">
        <f t="shared" si="24"/>
        <v>0</v>
      </c>
      <c r="CQ11" s="98">
        <f t="shared" si="25"/>
        <v>0</v>
      </c>
      <c r="CR11" s="98" t="e">
        <f t="shared" si="26"/>
        <v>#DIV/0!</v>
      </c>
      <c r="CS11" s="99">
        <f t="shared" si="27"/>
        <v>3</v>
      </c>
      <c r="CT11" s="112">
        <v>5</v>
      </c>
      <c r="CU11" s="90" t="s">
        <v>122</v>
      </c>
      <c r="CV11" s="90" t="s">
        <v>123</v>
      </c>
      <c r="CW11" s="90" t="s">
        <v>124</v>
      </c>
      <c r="CX11" s="114">
        <v>4.6931E-2</v>
      </c>
      <c r="CY11" s="100">
        <v>1243.7737999999999</v>
      </c>
      <c r="CZ11" s="100">
        <v>1305.9978000000001</v>
      </c>
      <c r="DA11" s="100">
        <v>1305.9978000000001</v>
      </c>
      <c r="DB11" s="100">
        <v>2.895</v>
      </c>
      <c r="DC11" s="101">
        <v>0.21840999999999999</v>
      </c>
      <c r="DD11" s="102">
        <v>0.23694435</v>
      </c>
      <c r="DE11" s="102">
        <v>0.253224</v>
      </c>
      <c r="DF11" s="102">
        <v>0.23204422999999999</v>
      </c>
      <c r="DG11" s="103">
        <v>8.4860354379378306E-2</v>
      </c>
      <c r="DH11" s="104">
        <v>237.68733</v>
      </c>
      <c r="DI11" s="104">
        <v>289.79962</v>
      </c>
      <c r="DJ11" s="104">
        <v>301.67307</v>
      </c>
      <c r="DK11" s="105">
        <v>0.21924723543320501</v>
      </c>
      <c r="DL11" s="106">
        <v>0.121158963667473</v>
      </c>
      <c r="DM11" s="84">
        <v>12.218058797350499</v>
      </c>
      <c r="DN11" s="107">
        <v>6.8706639343795298E-2</v>
      </c>
      <c r="DO11" s="84">
        <v>-11.754627711588601</v>
      </c>
      <c r="DP11" s="84">
        <v>4.3559545999999996</v>
      </c>
      <c r="DQ11" s="106">
        <v>0.12449239426939</v>
      </c>
      <c r="DR11" s="107">
        <v>4.0971240749038899E-2</v>
      </c>
      <c r="DS11" s="106">
        <v>0.19310140776108001</v>
      </c>
      <c r="DT11" s="106">
        <v>0.13530889500000001</v>
      </c>
      <c r="DU11" s="100" t="s">
        <v>125</v>
      </c>
      <c r="DV11" s="100" t="s">
        <v>100</v>
      </c>
      <c r="DW11" s="100" t="s">
        <v>126</v>
      </c>
      <c r="DX11" s="100" t="s">
        <v>127</v>
      </c>
      <c r="DY11" s="100"/>
      <c r="DZ11" s="100"/>
      <c r="EA11" s="100"/>
      <c r="EB11" s="100"/>
      <c r="EC11" s="100"/>
      <c r="ED11" s="100"/>
    </row>
    <row r="12" spans="1:134" ht="15.5">
      <c r="A12" s="68"/>
      <c r="B12" s="69"/>
      <c r="C12" s="70"/>
      <c r="D12" s="70"/>
      <c r="E12" s="70"/>
      <c r="F12" s="70"/>
      <c r="G12" s="70"/>
      <c r="H12" s="71"/>
      <c r="I12" s="70"/>
      <c r="J12" s="72"/>
      <c r="K12" s="73"/>
      <c r="L12" s="72"/>
      <c r="M12" s="70"/>
      <c r="N12" s="70"/>
      <c r="O12" s="71"/>
      <c r="P12" s="73"/>
      <c r="Q12" s="74"/>
      <c r="R12" s="71"/>
      <c r="S12" s="70"/>
      <c r="T12" s="70"/>
      <c r="U12" s="71"/>
      <c r="V12" s="108"/>
      <c r="W12" s="70"/>
      <c r="X12" s="72"/>
      <c r="Y12" s="72"/>
      <c r="Z12" s="72"/>
      <c r="AA12" s="71"/>
      <c r="AB12" s="71"/>
      <c r="AC12" s="71"/>
      <c r="AD12" s="70"/>
      <c r="AE12" s="70"/>
      <c r="AF12" s="71"/>
      <c r="AG12" s="71"/>
      <c r="AH12" s="70"/>
      <c r="AI12" s="70"/>
      <c r="AJ12" s="70"/>
      <c r="AK12" s="70"/>
      <c r="AL12" s="70"/>
      <c r="AM12" s="70"/>
      <c r="AN12" s="70"/>
      <c r="AO12" s="71"/>
      <c r="AP12" s="71"/>
      <c r="AQ12" s="71"/>
      <c r="AR12" s="70"/>
      <c r="AS12" s="70"/>
      <c r="AT12" s="70"/>
      <c r="AU12" s="70"/>
      <c r="AV12" s="70"/>
      <c r="AW12" s="70"/>
      <c r="AX12" s="70"/>
      <c r="AY12" s="71"/>
      <c r="AZ12" s="75"/>
      <c r="BA12" s="76"/>
      <c r="BB12" s="77"/>
      <c r="BC12" s="71"/>
      <c r="BD12" s="71"/>
      <c r="BE12" s="76"/>
      <c r="BF12" s="76"/>
      <c r="BG12" s="76"/>
      <c r="BH12" s="76"/>
      <c r="BI12" s="78"/>
      <c r="BJ12" s="79"/>
      <c r="BK12" s="78"/>
      <c r="BL12" s="78"/>
      <c r="BM12" s="80"/>
      <c r="BN12" s="80"/>
      <c r="BO12" s="80"/>
      <c r="BQ12" s="109"/>
      <c r="BR12" s="82"/>
      <c r="BS12" s="111"/>
      <c r="BU12" s="84"/>
      <c r="BV12" s="84"/>
      <c r="BW12" s="84"/>
      <c r="BX12" s="84"/>
      <c r="BY12" s="84"/>
      <c r="BZ12" s="84"/>
      <c r="CA12" s="85"/>
      <c r="CB12" s="86" t="str">
        <f t="shared" si="20"/>
        <v>-NYS</v>
      </c>
      <c r="CC12" s="87"/>
      <c r="CD12" s="88"/>
      <c r="CE12" s="89"/>
      <c r="CF12" s="88"/>
      <c r="CG12" s="88"/>
      <c r="CI12" s="113"/>
      <c r="CJ12" s="91"/>
      <c r="CK12" s="92"/>
      <c r="CL12" s="93"/>
      <c r="CM12" s="94"/>
      <c r="CN12" s="95"/>
      <c r="CO12" s="96"/>
      <c r="CP12" s="97">
        <f t="shared" si="24"/>
        <v>0</v>
      </c>
      <c r="CQ12" s="98">
        <f t="shared" si="25"/>
        <v>0</v>
      </c>
      <c r="CR12" s="98" t="e">
        <f t="shared" si="26"/>
        <v>#DIV/0!</v>
      </c>
      <c r="CS12" s="99">
        <f t="shared" si="27"/>
        <v>4</v>
      </c>
      <c r="CT12" s="112">
        <v>6</v>
      </c>
      <c r="CU12" s="90" t="s">
        <v>128</v>
      </c>
      <c r="CV12" s="90" t="s">
        <v>129</v>
      </c>
      <c r="CW12" s="90" t="s">
        <v>130</v>
      </c>
      <c r="CX12" s="114">
        <v>4.6611E-2</v>
      </c>
      <c r="CY12" s="100">
        <v>580.80280000000005</v>
      </c>
      <c r="CZ12" s="100">
        <v>583.15221071999997</v>
      </c>
      <c r="DA12" s="100">
        <v>583.15221071999997</v>
      </c>
      <c r="DB12" s="100">
        <v>1.4650000000000001</v>
      </c>
      <c r="DC12" s="101">
        <v>5.4600000000000003E-2</v>
      </c>
      <c r="DD12" s="102">
        <v>4.8333332E-2</v>
      </c>
      <c r="DE12" s="102">
        <v>6.6500000000000004E-2</v>
      </c>
      <c r="DF12" s="102">
        <v>7.8799999999999995E-2</v>
      </c>
      <c r="DG12" s="103">
        <v>-0.11477413919413899</v>
      </c>
      <c r="DH12" s="104">
        <v>53.540286999999999</v>
      </c>
      <c r="DI12" s="104">
        <v>57.8187</v>
      </c>
      <c r="DJ12" s="104">
        <v>69.244950000000003</v>
      </c>
      <c r="DK12" s="105">
        <v>7.9910161856248593E-2</v>
      </c>
      <c r="DL12" s="106">
        <v>2.50363451112941E-2</v>
      </c>
      <c r="DM12" s="84">
        <v>30.310345663733699</v>
      </c>
      <c r="DN12" s="107">
        <v>0.375862106920334</v>
      </c>
      <c r="DO12" s="84">
        <v>1.0948307992438699</v>
      </c>
      <c r="DP12" s="84">
        <v>9.558548</v>
      </c>
      <c r="DQ12" s="106">
        <v>0.23576729872372101</v>
      </c>
      <c r="DR12" s="107">
        <v>0.197622049613706</v>
      </c>
      <c r="DS12" s="106">
        <v>9.8531849181693804E-2</v>
      </c>
      <c r="DT12" s="106">
        <v>7.0030830000000002E-2</v>
      </c>
      <c r="DU12" s="100" t="s">
        <v>131</v>
      </c>
      <c r="DV12" s="100" t="s">
        <v>132</v>
      </c>
      <c r="DW12" s="100" t="s">
        <v>133</v>
      </c>
      <c r="DX12" s="100" t="s">
        <v>134</v>
      </c>
      <c r="DY12" s="100"/>
      <c r="DZ12" s="100"/>
      <c r="EA12" s="100"/>
      <c r="EB12" s="100"/>
      <c r="EC12" s="100"/>
      <c r="ED12" s="100"/>
    </row>
    <row r="13" spans="1:134" ht="15.5">
      <c r="A13" s="68"/>
      <c r="B13" s="69"/>
      <c r="C13" s="70"/>
      <c r="D13" s="70"/>
      <c r="E13" s="70"/>
      <c r="F13" s="70"/>
      <c r="G13" s="70"/>
      <c r="H13" s="71"/>
      <c r="I13" s="70"/>
      <c r="J13" s="72"/>
      <c r="K13" s="73"/>
      <c r="L13" s="72"/>
      <c r="M13" s="70"/>
      <c r="N13" s="70"/>
      <c r="O13" s="71"/>
      <c r="P13" s="73"/>
      <c r="Q13" s="74"/>
      <c r="R13" s="71"/>
      <c r="S13" s="70"/>
      <c r="T13" s="70"/>
      <c r="U13" s="71"/>
      <c r="V13" s="108"/>
      <c r="W13" s="70"/>
      <c r="X13" s="72"/>
      <c r="Y13" s="72"/>
      <c r="Z13" s="72"/>
      <c r="AA13" s="71"/>
      <c r="AB13" s="71"/>
      <c r="AC13" s="71"/>
      <c r="AD13" s="70"/>
      <c r="AE13" s="70"/>
      <c r="AF13" s="71"/>
      <c r="AG13" s="71"/>
      <c r="AH13" s="70"/>
      <c r="AI13" s="70"/>
      <c r="AJ13" s="70"/>
      <c r="AK13" s="70"/>
      <c r="AL13" s="70"/>
      <c r="AM13" s="70"/>
      <c r="AN13" s="70"/>
      <c r="AO13" s="71"/>
      <c r="AP13" s="71"/>
      <c r="AQ13" s="71"/>
      <c r="AR13" s="70"/>
      <c r="AS13" s="70"/>
      <c r="AT13" s="70"/>
      <c r="AU13" s="70"/>
      <c r="AV13" s="70"/>
      <c r="AW13" s="70"/>
      <c r="AX13" s="70"/>
      <c r="AY13" s="71"/>
      <c r="AZ13" s="75"/>
      <c r="BA13" s="76"/>
      <c r="BB13" s="77"/>
      <c r="BC13" s="71"/>
      <c r="BD13" s="71"/>
      <c r="BE13" s="76"/>
      <c r="BF13" s="76"/>
      <c r="BG13" s="76"/>
      <c r="BH13" s="76"/>
      <c r="BI13" s="78"/>
      <c r="BJ13" s="79"/>
      <c r="BK13" s="78"/>
      <c r="BL13" s="78"/>
      <c r="BM13" s="80"/>
      <c r="BN13" s="80"/>
      <c r="BO13" s="80"/>
      <c r="BQ13" s="109"/>
      <c r="BR13" s="82"/>
      <c r="BS13" s="111"/>
      <c r="BU13" s="84"/>
      <c r="BV13" s="84"/>
      <c r="BW13" s="84"/>
      <c r="BX13" s="84"/>
      <c r="BY13" s="84"/>
      <c r="BZ13" s="84"/>
      <c r="CA13" s="85"/>
      <c r="CB13" s="86"/>
      <c r="CC13" s="87"/>
      <c r="CD13" s="88"/>
      <c r="CE13" s="89"/>
      <c r="CF13" s="88"/>
      <c r="CG13" s="88"/>
      <c r="CI13" s="113"/>
      <c r="CJ13" s="91"/>
      <c r="CK13" s="92"/>
      <c r="CL13" s="93"/>
      <c r="CM13" s="94"/>
      <c r="CN13" s="95"/>
      <c r="CO13" s="96"/>
      <c r="CP13" s="97"/>
      <c r="CQ13" s="98"/>
      <c r="CR13" s="98"/>
      <c r="CS13" s="99"/>
      <c r="CT13" s="112">
        <v>7</v>
      </c>
      <c r="CU13" s="90" t="s">
        <v>135</v>
      </c>
      <c r="CV13" s="90" t="s">
        <v>136</v>
      </c>
      <c r="CW13" s="90" t="s">
        <v>137</v>
      </c>
      <c r="CX13" s="114">
        <v>4.5664999999999997E-2</v>
      </c>
      <c r="CY13" s="100">
        <v>287.12795999999997</v>
      </c>
      <c r="CZ13" s="100">
        <v>115.89632184</v>
      </c>
      <c r="DA13" s="100">
        <v>115.89632184</v>
      </c>
      <c r="DB13" s="100">
        <v>0.14000000000000001</v>
      </c>
      <c r="DC13" s="101">
        <v>-5.0222999999999997E-2</v>
      </c>
      <c r="DD13" s="102">
        <v>-2.5000000000000001E-3</v>
      </c>
      <c r="DE13" s="102">
        <v>-6.7499999999999999E-3</v>
      </c>
      <c r="DF13" s="102">
        <v>0.01</v>
      </c>
      <c r="DG13" s="103">
        <v>0</v>
      </c>
      <c r="DH13" s="104">
        <v>-30.007000000000001</v>
      </c>
      <c r="DI13" s="104">
        <v>-5.5876292999999997</v>
      </c>
      <c r="DJ13" s="104">
        <v>-0.69484263999999996</v>
      </c>
      <c r="DK13" s="105">
        <v>0</v>
      </c>
      <c r="DL13" s="106">
        <v>-0.18982483352985099</v>
      </c>
      <c r="DM13" s="84" t="s">
        <v>99</v>
      </c>
      <c r="DN13" s="107" t="s">
        <v>99</v>
      </c>
      <c r="DO13" s="84" t="s">
        <v>99</v>
      </c>
      <c r="DP13" s="84" t="s">
        <v>99</v>
      </c>
      <c r="DQ13" s="106">
        <v>-5.7309018461538503</v>
      </c>
      <c r="DR13" s="107">
        <v>0</v>
      </c>
      <c r="DS13" s="106">
        <v>-0.63179361090521202</v>
      </c>
      <c r="DT13" s="106">
        <v>-2.9607600000000001E-2</v>
      </c>
      <c r="DU13" s="100" t="s">
        <v>138</v>
      </c>
      <c r="DV13" s="100" t="s">
        <v>131</v>
      </c>
      <c r="DW13" s="100" t="s">
        <v>139</v>
      </c>
      <c r="DX13" s="100" t="s">
        <v>140</v>
      </c>
      <c r="DY13" s="100"/>
      <c r="DZ13" s="100"/>
      <c r="EA13" s="100"/>
      <c r="EB13" s="100"/>
      <c r="EC13" s="100"/>
      <c r="ED13" s="100"/>
    </row>
    <row r="14" spans="1:134" ht="15.5">
      <c r="A14" s="68"/>
      <c r="B14" s="69"/>
      <c r="C14" s="70"/>
      <c r="D14" s="70"/>
      <c r="E14" s="70"/>
      <c r="F14" s="70"/>
      <c r="G14" s="70"/>
      <c r="H14" s="71"/>
      <c r="I14" s="70"/>
      <c r="J14" s="72"/>
      <c r="K14" s="73"/>
      <c r="L14" s="72"/>
      <c r="M14" s="70"/>
      <c r="N14" s="70"/>
      <c r="O14" s="71"/>
      <c r="P14" s="73"/>
      <c r="Q14" s="74"/>
      <c r="R14" s="71"/>
      <c r="S14" s="70"/>
      <c r="T14" s="70"/>
      <c r="U14" s="71"/>
      <c r="V14" s="108"/>
      <c r="W14" s="70"/>
      <c r="X14" s="72"/>
      <c r="Y14" s="72"/>
      <c r="Z14" s="72"/>
      <c r="AA14" s="71"/>
      <c r="AB14" s="71"/>
      <c r="AC14" s="71"/>
      <c r="AD14" s="70"/>
      <c r="AE14" s="70"/>
      <c r="AF14" s="71"/>
      <c r="AG14" s="71"/>
      <c r="AH14" s="70"/>
      <c r="AI14" s="70"/>
      <c r="AJ14" s="70"/>
      <c r="AK14" s="70"/>
      <c r="AL14" s="70"/>
      <c r="AM14" s="70"/>
      <c r="AN14" s="70"/>
      <c r="AO14" s="71"/>
      <c r="AP14" s="71"/>
      <c r="AQ14" s="71"/>
      <c r="AR14" s="70"/>
      <c r="AS14" s="70"/>
      <c r="AT14" s="70"/>
      <c r="AU14" s="70"/>
      <c r="AV14" s="70"/>
      <c r="AW14" s="70"/>
      <c r="AX14" s="70"/>
      <c r="AY14" s="71"/>
      <c r="AZ14" s="75"/>
      <c r="BA14" s="76"/>
      <c r="BB14" s="77"/>
      <c r="BC14" s="71"/>
      <c r="BD14" s="71"/>
      <c r="BE14" s="76"/>
      <c r="BF14" s="76"/>
      <c r="BG14" s="76"/>
      <c r="BH14" s="76"/>
      <c r="BI14" s="78"/>
      <c r="BJ14" s="79"/>
      <c r="BK14" s="78"/>
      <c r="BL14" s="78"/>
      <c r="BM14" s="80"/>
      <c r="BN14" s="80"/>
      <c r="BO14" s="80"/>
      <c r="BQ14" s="109" t="s">
        <v>141</v>
      </c>
      <c r="BR14" s="82"/>
      <c r="BS14" s="111">
        <f>SUM(BS3:BS11)</f>
        <v>13518102.82247502</v>
      </c>
      <c r="BU14" s="84"/>
      <c r="BV14" s="84"/>
      <c r="BW14" s="84"/>
      <c r="BX14" s="84"/>
      <c r="BY14" s="84"/>
      <c r="BZ14" s="84"/>
      <c r="CA14" s="85"/>
      <c r="CB14" s="86"/>
      <c r="CC14" s="87"/>
      <c r="CD14" s="88"/>
      <c r="CE14" s="89"/>
      <c r="CF14" s="88"/>
      <c r="CG14" s="88"/>
      <c r="CI14" s="113"/>
      <c r="CJ14" s="91"/>
      <c r="CK14" s="92"/>
      <c r="CL14" s="93"/>
      <c r="CM14" s="94"/>
      <c r="CN14" s="95"/>
      <c r="CO14" s="96"/>
      <c r="CP14" s="97"/>
      <c r="CQ14" s="98"/>
      <c r="CR14" s="98"/>
      <c r="CS14" s="99"/>
      <c r="CT14" s="112">
        <v>8</v>
      </c>
      <c r="CU14" s="90" t="s">
        <v>142</v>
      </c>
      <c r="CV14" s="90" t="s">
        <v>143</v>
      </c>
      <c r="CW14" s="90" t="s">
        <v>144</v>
      </c>
      <c r="CX14" s="114">
        <v>4.369E-2</v>
      </c>
      <c r="CY14" s="100">
        <v>16033.356</v>
      </c>
      <c r="CZ14" s="100" t="s">
        <v>99</v>
      </c>
      <c r="DA14" s="100" t="s">
        <v>99</v>
      </c>
      <c r="DB14" s="100">
        <v>89.21</v>
      </c>
      <c r="DC14" s="101" t="s">
        <v>99</v>
      </c>
      <c r="DD14" s="102" t="s">
        <v>99</v>
      </c>
      <c r="DE14" s="102" t="s">
        <v>99</v>
      </c>
      <c r="DF14" s="102" t="s">
        <v>99</v>
      </c>
      <c r="DG14" s="103" t="s">
        <v>99</v>
      </c>
      <c r="DH14" s="104" t="s">
        <v>99</v>
      </c>
      <c r="DI14" s="104" t="s">
        <v>99</v>
      </c>
      <c r="DJ14" s="104" t="s">
        <v>99</v>
      </c>
      <c r="DK14" s="105" t="s">
        <v>99</v>
      </c>
      <c r="DL14" s="106" t="s">
        <v>99</v>
      </c>
      <c r="DM14" s="84" t="s">
        <v>99</v>
      </c>
      <c r="DN14" s="107" t="s">
        <v>99</v>
      </c>
      <c r="DO14" s="84" t="s">
        <v>99</v>
      </c>
      <c r="DP14" s="84" t="s">
        <v>99</v>
      </c>
      <c r="DQ14" s="106" t="s">
        <v>99</v>
      </c>
      <c r="DR14" s="107" t="s">
        <v>99</v>
      </c>
      <c r="DS14" s="106" t="s">
        <v>99</v>
      </c>
      <c r="DT14" s="106" t="s">
        <v>99</v>
      </c>
      <c r="DU14" s="100" t="s">
        <v>101</v>
      </c>
      <c r="DV14" s="100" t="s">
        <v>145</v>
      </c>
      <c r="DW14" s="100" t="s">
        <v>146</v>
      </c>
      <c r="DX14" s="100" t="s">
        <v>147</v>
      </c>
      <c r="DY14" s="100"/>
      <c r="DZ14" s="100"/>
      <c r="EA14" s="100"/>
      <c r="EB14" s="100"/>
      <c r="EC14" s="100"/>
      <c r="ED14" s="100"/>
    </row>
    <row r="15" spans="1:134" ht="15.5">
      <c r="A15" s="68"/>
      <c r="B15" s="69"/>
      <c r="C15" s="70"/>
      <c r="D15" s="70"/>
      <c r="E15" s="70"/>
      <c r="F15" s="70"/>
      <c r="G15" s="70"/>
      <c r="H15" s="71"/>
      <c r="I15" s="70"/>
      <c r="J15" s="72"/>
      <c r="K15" s="73"/>
      <c r="L15" s="72"/>
      <c r="M15" s="70"/>
      <c r="N15" s="70"/>
      <c r="O15" s="71"/>
      <c r="P15" s="73"/>
      <c r="Q15" s="74"/>
      <c r="R15" s="71"/>
      <c r="S15" s="70"/>
      <c r="T15" s="70"/>
      <c r="U15" s="71"/>
      <c r="V15" s="108"/>
      <c r="W15" s="70"/>
      <c r="X15" s="72"/>
      <c r="Y15" s="72"/>
      <c r="Z15" s="72"/>
      <c r="AA15" s="71"/>
      <c r="AB15" s="71"/>
      <c r="AC15" s="71"/>
      <c r="AD15" s="70"/>
      <c r="AE15" s="70"/>
      <c r="AF15" s="71"/>
      <c r="AG15" s="71"/>
      <c r="AH15" s="70"/>
      <c r="AI15" s="70"/>
      <c r="AJ15" s="70"/>
      <c r="AK15" s="70"/>
      <c r="AL15" s="70"/>
      <c r="AM15" s="70"/>
      <c r="AN15" s="70"/>
      <c r="AO15" s="71"/>
      <c r="AP15" s="71"/>
      <c r="AQ15" s="71"/>
      <c r="AR15" s="70"/>
      <c r="AS15" s="70"/>
      <c r="AT15" s="70"/>
      <c r="AU15" s="70"/>
      <c r="AV15" s="70"/>
      <c r="AW15" s="70"/>
      <c r="AX15" s="70"/>
      <c r="AY15" s="71"/>
      <c r="AZ15" s="75"/>
      <c r="BA15" s="76"/>
      <c r="BB15" s="77"/>
      <c r="BC15" s="71"/>
      <c r="BD15" s="71"/>
      <c r="BE15" s="76"/>
      <c r="BF15" s="76"/>
      <c r="BG15" s="76"/>
      <c r="BH15" s="76"/>
      <c r="BI15" s="78"/>
      <c r="BJ15" s="79"/>
      <c r="BK15" s="78"/>
      <c r="BL15" s="78"/>
      <c r="BM15" s="80"/>
      <c r="BN15" s="80"/>
      <c r="BO15" s="80"/>
      <c r="BQ15" s="109"/>
      <c r="BR15" s="82"/>
      <c r="BS15" s="111"/>
      <c r="BU15" s="84"/>
      <c r="BV15" s="84"/>
      <c r="BW15" s="84"/>
      <c r="BX15" s="84"/>
      <c r="BY15" s="84"/>
      <c r="BZ15" s="84"/>
      <c r="CA15" s="85"/>
      <c r="CB15" s="86"/>
      <c r="CC15" s="87"/>
      <c r="CD15" s="88"/>
      <c r="CE15" s="89"/>
      <c r="CF15" s="88"/>
      <c r="CG15" s="88"/>
      <c r="CI15" s="113"/>
      <c r="CJ15" s="91"/>
      <c r="CK15" s="92"/>
      <c r="CL15" s="93"/>
      <c r="CM15" s="94"/>
      <c r="CN15" s="95"/>
      <c r="CO15" s="96"/>
      <c r="CP15" s="97"/>
      <c r="CQ15" s="98"/>
      <c r="CR15" s="98"/>
      <c r="CS15" s="99"/>
      <c r="CT15" s="112">
        <v>9</v>
      </c>
      <c r="CU15" s="90" t="s">
        <v>148</v>
      </c>
      <c r="CV15" s="90" t="s">
        <v>149</v>
      </c>
      <c r="CW15" s="90" t="s">
        <v>150</v>
      </c>
      <c r="CX15" s="114">
        <v>4.0918000000000003E-2</v>
      </c>
      <c r="CY15" s="100">
        <v>1088.0491</v>
      </c>
      <c r="CZ15" s="100">
        <v>1359.76217</v>
      </c>
      <c r="DA15" s="100">
        <v>1359.76217</v>
      </c>
      <c r="DB15" s="100">
        <v>4.1500000000000004</v>
      </c>
      <c r="DC15" s="101">
        <v>7.4663999999999994E-2</v>
      </c>
      <c r="DD15" s="102">
        <v>0.63779540000000001</v>
      </c>
      <c r="DE15" s="102">
        <v>0.5653762</v>
      </c>
      <c r="DF15" s="102">
        <v>0.51535719999999996</v>
      </c>
      <c r="DG15" s="103">
        <v>7.5422077574199102</v>
      </c>
      <c r="DH15" s="104">
        <v>59.880665</v>
      </c>
      <c r="DI15" s="104">
        <v>329.54199999999997</v>
      </c>
      <c r="DJ15" s="104">
        <v>326.06099999999998</v>
      </c>
      <c r="DK15" s="105">
        <v>4.5033122962144798</v>
      </c>
      <c r="DL15" s="106" t="s">
        <v>99</v>
      </c>
      <c r="DM15" s="84">
        <v>6.5067888542313099</v>
      </c>
      <c r="DN15" s="107">
        <v>-0.113546130937915</v>
      </c>
      <c r="DO15" s="84">
        <v>-0.64362699363866105</v>
      </c>
      <c r="DP15" s="84">
        <v>3.5165934999999999</v>
      </c>
      <c r="DQ15" s="106">
        <v>0.86627656330504799</v>
      </c>
      <c r="DR15" s="107">
        <v>-1.05631452136602E-2</v>
      </c>
      <c r="DS15" s="106">
        <v>-4.1596840052906099E-2</v>
      </c>
      <c r="DT15" s="106" t="s">
        <v>99</v>
      </c>
      <c r="DU15" s="100" t="s">
        <v>151</v>
      </c>
      <c r="DV15" s="100" t="s">
        <v>100</v>
      </c>
      <c r="DW15" s="100" t="s">
        <v>152</v>
      </c>
      <c r="DX15" s="100" t="s">
        <v>153</v>
      </c>
      <c r="DY15" s="100"/>
      <c r="DZ15" s="100"/>
      <c r="EA15" s="100"/>
      <c r="EB15" s="100"/>
      <c r="EC15" s="100"/>
      <c r="ED15" s="100"/>
    </row>
    <row r="16" spans="1:134" ht="15.5">
      <c r="A16" s="68"/>
      <c r="B16" s="69"/>
      <c r="C16" s="70"/>
      <c r="D16" s="70"/>
      <c r="E16" s="70"/>
      <c r="F16" s="70"/>
      <c r="G16" s="70"/>
      <c r="H16" s="71"/>
      <c r="I16" s="70"/>
      <c r="J16" s="72"/>
      <c r="K16" s="73"/>
      <c r="L16" s="72"/>
      <c r="M16" s="70"/>
      <c r="N16" s="70"/>
      <c r="O16" s="71"/>
      <c r="P16" s="73"/>
      <c r="Q16" s="74"/>
      <c r="R16" s="71"/>
      <c r="S16" s="70"/>
      <c r="T16" s="70"/>
      <c r="U16" s="71"/>
      <c r="V16" s="108"/>
      <c r="W16" s="70"/>
      <c r="X16" s="72"/>
      <c r="Y16" s="72"/>
      <c r="Z16" s="72"/>
      <c r="AA16" s="71"/>
      <c r="AB16" s="71"/>
      <c r="AC16" s="71"/>
      <c r="AD16" s="70"/>
      <c r="AE16" s="70"/>
      <c r="AF16" s="71"/>
      <c r="AG16" s="71"/>
      <c r="AH16" s="70"/>
      <c r="AI16" s="70"/>
      <c r="AJ16" s="70"/>
      <c r="AK16" s="70"/>
      <c r="AL16" s="70"/>
      <c r="AM16" s="70"/>
      <c r="AN16" s="70"/>
      <c r="AO16" s="71"/>
      <c r="AP16" s="71"/>
      <c r="AQ16" s="71"/>
      <c r="AR16" s="70"/>
      <c r="AS16" s="70"/>
      <c r="AT16" s="70"/>
      <c r="AU16" s="70"/>
      <c r="AV16" s="70"/>
      <c r="AW16" s="70"/>
      <c r="AX16" s="70"/>
      <c r="AY16" s="71"/>
      <c r="AZ16" s="75"/>
      <c r="BA16" s="76"/>
      <c r="BB16" s="77"/>
      <c r="BC16" s="71"/>
      <c r="BD16" s="71"/>
      <c r="BE16" s="76"/>
      <c r="BF16" s="76"/>
      <c r="BG16" s="76"/>
      <c r="BH16" s="76"/>
      <c r="BI16" s="78"/>
      <c r="BJ16" s="79"/>
      <c r="BK16" s="78"/>
      <c r="BL16" s="78"/>
      <c r="BM16" s="80"/>
      <c r="BN16" s="80"/>
      <c r="BO16" s="80"/>
      <c r="BQ16" s="109"/>
      <c r="BR16" s="82"/>
      <c r="BS16" s="111"/>
      <c r="BU16" s="84"/>
      <c r="BV16" s="84"/>
      <c r="BW16" s="84"/>
      <c r="BX16" s="84"/>
      <c r="BY16" s="84"/>
      <c r="BZ16" s="84"/>
      <c r="CA16" s="85"/>
      <c r="CB16" s="86"/>
      <c r="CC16" s="87"/>
      <c r="CD16" s="88"/>
      <c r="CE16" s="89"/>
      <c r="CF16" s="88"/>
      <c r="CG16" s="88"/>
      <c r="CI16" s="113"/>
      <c r="CJ16" s="91"/>
      <c r="CK16" s="92"/>
      <c r="CL16" s="93"/>
      <c r="CM16" s="94"/>
      <c r="CN16" s="95"/>
      <c r="CO16" s="96"/>
      <c r="CP16" s="97"/>
      <c r="CQ16" s="98"/>
      <c r="CR16" s="98"/>
      <c r="CS16" s="99"/>
      <c r="CT16" s="112">
        <v>10</v>
      </c>
      <c r="CU16" s="90" t="s">
        <v>154</v>
      </c>
      <c r="CV16" s="90" t="s">
        <v>155</v>
      </c>
      <c r="CW16" s="90" t="s">
        <v>156</v>
      </c>
      <c r="CX16" s="114">
        <v>3.9981000000000003E-2</v>
      </c>
      <c r="CY16" s="100">
        <v>390.84174000000002</v>
      </c>
      <c r="CZ16" s="100">
        <v>365.04599999999999</v>
      </c>
      <c r="DA16" s="100">
        <v>365.04599999999999</v>
      </c>
      <c r="DB16" s="100">
        <v>1.95</v>
      </c>
      <c r="DC16" s="101">
        <v>-2.793E-2</v>
      </c>
      <c r="DD16" s="102">
        <v>1.597521E-3</v>
      </c>
      <c r="DE16" s="102">
        <v>8.7475486000000005E-2</v>
      </c>
      <c r="DF16" s="102" t="s">
        <v>99</v>
      </c>
      <c r="DG16" s="103">
        <v>0</v>
      </c>
      <c r="DH16" s="104">
        <v>13.3</v>
      </c>
      <c r="DI16" s="104">
        <v>17.821829000000001</v>
      </c>
      <c r="DJ16" s="104">
        <v>24.802769000000001</v>
      </c>
      <c r="DK16" s="105">
        <v>0.33998714285714299</v>
      </c>
      <c r="DL16" s="106">
        <v>2.2803474082718302E-2</v>
      </c>
      <c r="DM16" s="84">
        <v>1220.6412310072899</v>
      </c>
      <c r="DN16" s="107">
        <v>53.757017904615999</v>
      </c>
      <c r="DO16" s="84" t="s">
        <v>99</v>
      </c>
      <c r="DP16" s="84">
        <v>20.560738000000001</v>
      </c>
      <c r="DQ16" s="106">
        <v>0.16967745645511201</v>
      </c>
      <c r="DR16" s="107">
        <v>0.39170727089795299</v>
      </c>
      <c r="DS16" s="106">
        <v>-6.4271087642011601E-2</v>
      </c>
      <c r="DT16" s="106">
        <v>-1.3119726E-2</v>
      </c>
      <c r="DU16" s="100" t="s">
        <v>151</v>
      </c>
      <c r="DV16" s="100" t="s">
        <v>100</v>
      </c>
      <c r="DW16" s="100" t="s">
        <v>157</v>
      </c>
      <c r="DX16" s="100" t="s">
        <v>158</v>
      </c>
      <c r="DY16" s="100"/>
      <c r="DZ16" s="100"/>
      <c r="EA16" s="100"/>
      <c r="EB16" s="100"/>
      <c r="EC16" s="100"/>
      <c r="ED16" s="100"/>
    </row>
    <row r="17" spans="1:134" ht="15.5">
      <c r="A17" s="68"/>
      <c r="B17" s="69"/>
      <c r="C17" s="70"/>
      <c r="D17" s="70"/>
      <c r="E17" s="70"/>
      <c r="F17" s="70"/>
      <c r="G17" s="70"/>
      <c r="H17" s="71"/>
      <c r="I17" s="70"/>
      <c r="J17" s="72"/>
      <c r="K17" s="73"/>
      <c r="L17" s="72"/>
      <c r="M17" s="70"/>
      <c r="N17" s="70"/>
      <c r="O17" s="71"/>
      <c r="P17" s="73"/>
      <c r="Q17" s="74"/>
      <c r="R17" s="71"/>
      <c r="S17" s="70"/>
      <c r="T17" s="70"/>
      <c r="U17" s="71"/>
      <c r="V17" s="108"/>
      <c r="W17" s="70"/>
      <c r="X17" s="72"/>
      <c r="Y17" s="72"/>
      <c r="Z17" s="72"/>
      <c r="AA17" s="71"/>
      <c r="AB17" s="71"/>
      <c r="AC17" s="71"/>
      <c r="AD17" s="70"/>
      <c r="AE17" s="70"/>
      <c r="AF17" s="71"/>
      <c r="AG17" s="71"/>
      <c r="AH17" s="70"/>
      <c r="AI17" s="70"/>
      <c r="AJ17" s="70"/>
      <c r="AK17" s="70"/>
      <c r="AL17" s="70"/>
      <c r="AM17" s="70"/>
      <c r="AN17" s="70"/>
      <c r="AO17" s="71"/>
      <c r="AP17" s="71"/>
      <c r="AQ17" s="71"/>
      <c r="AR17" s="70"/>
      <c r="AS17" s="70"/>
      <c r="AT17" s="70"/>
      <c r="AU17" s="70"/>
      <c r="AV17" s="70"/>
      <c r="AW17" s="70"/>
      <c r="AX17" s="70"/>
      <c r="AY17" s="71"/>
      <c r="AZ17" s="75"/>
      <c r="BA17" s="76"/>
      <c r="BB17" s="77"/>
      <c r="BC17" s="71"/>
      <c r="BD17" s="71"/>
      <c r="BE17" s="76"/>
      <c r="BF17" s="76"/>
      <c r="BG17" s="76"/>
      <c r="BH17" s="76"/>
      <c r="BI17" s="78"/>
      <c r="BJ17" s="79"/>
      <c r="BK17" s="78"/>
      <c r="BL17" s="78"/>
      <c r="BM17" s="80"/>
      <c r="BN17" s="80"/>
      <c r="BO17" s="80"/>
      <c r="BQ17" s="109"/>
      <c r="BR17" s="82"/>
      <c r="BS17" s="111"/>
      <c r="BU17" s="84"/>
      <c r="BV17" s="84"/>
      <c r="BW17" s="84"/>
      <c r="BX17" s="84"/>
      <c r="BY17" s="84"/>
      <c r="BZ17" s="84"/>
      <c r="CA17" s="85"/>
      <c r="CB17" s="86"/>
      <c r="CC17" s="87"/>
      <c r="CD17" s="88"/>
      <c r="CE17" s="89"/>
      <c r="CF17" s="88"/>
      <c r="CG17" s="88"/>
      <c r="CI17" s="113"/>
      <c r="CJ17" s="91"/>
      <c r="CK17" s="92"/>
      <c r="CL17" s="93"/>
      <c r="CM17" s="94"/>
      <c r="CN17" s="95"/>
      <c r="CO17" s="96"/>
      <c r="CP17" s="97"/>
      <c r="CQ17" s="98"/>
      <c r="CR17" s="98"/>
      <c r="CS17" s="99"/>
      <c r="CT17" s="112"/>
      <c r="CU17" s="90"/>
      <c r="CV17" s="90"/>
      <c r="CW17" s="90"/>
      <c r="CX17" s="114"/>
      <c r="CY17" s="100"/>
      <c r="CZ17" s="100"/>
      <c r="DA17" s="100"/>
      <c r="DB17" s="100"/>
      <c r="DC17" s="101"/>
      <c r="DD17" s="102"/>
      <c r="DE17" s="102"/>
      <c r="DF17" s="102"/>
      <c r="DG17" s="103"/>
      <c r="DH17" s="104"/>
      <c r="DI17" s="104"/>
      <c r="DJ17" s="104"/>
      <c r="DK17" s="105"/>
      <c r="DL17" s="106"/>
      <c r="DM17" s="84"/>
      <c r="DN17" s="107"/>
      <c r="DO17" s="84"/>
      <c r="DP17" s="84"/>
      <c r="DQ17" s="106"/>
      <c r="DR17" s="107"/>
      <c r="DS17" s="106"/>
      <c r="DT17" s="106"/>
      <c r="DU17" s="100"/>
      <c r="DV17" s="100"/>
      <c r="DW17" s="100"/>
      <c r="DX17" s="100"/>
      <c r="DY17" s="100"/>
      <c r="DZ17" s="100"/>
      <c r="EA17" s="100"/>
      <c r="EB17" s="100"/>
      <c r="EC17" s="100"/>
      <c r="ED17" s="100"/>
    </row>
    <row r="18" spans="1:134" ht="15.5">
      <c r="A18" s="68"/>
      <c r="B18" s="69"/>
      <c r="C18" s="70"/>
      <c r="D18" s="70"/>
      <c r="E18" s="70"/>
      <c r="F18" s="70"/>
      <c r="G18" s="70"/>
      <c r="H18" s="71"/>
      <c r="I18" s="70"/>
      <c r="J18" s="72"/>
      <c r="K18" s="73"/>
      <c r="L18" s="72"/>
      <c r="M18" s="70"/>
      <c r="N18" s="70"/>
      <c r="O18" s="71"/>
      <c r="P18" s="73"/>
      <c r="Q18" s="74"/>
      <c r="R18" s="71"/>
      <c r="S18" s="70"/>
      <c r="T18" s="70"/>
      <c r="U18" s="71"/>
      <c r="V18" s="108"/>
      <c r="W18" s="70"/>
      <c r="X18" s="72"/>
      <c r="Y18" s="72"/>
      <c r="Z18" s="72"/>
      <c r="AA18" s="71"/>
      <c r="AB18" s="71"/>
      <c r="AC18" s="71"/>
      <c r="AD18" s="70"/>
      <c r="AE18" s="70"/>
      <c r="AF18" s="71"/>
      <c r="AG18" s="71"/>
      <c r="AH18" s="70"/>
      <c r="AI18" s="70"/>
      <c r="AJ18" s="70"/>
      <c r="AK18" s="70"/>
      <c r="AL18" s="70"/>
      <c r="AM18" s="70"/>
      <c r="AN18" s="70"/>
      <c r="AO18" s="71"/>
      <c r="AP18" s="71"/>
      <c r="AQ18" s="71"/>
      <c r="AR18" s="70"/>
      <c r="AS18" s="70"/>
      <c r="AT18" s="70"/>
      <c r="AU18" s="70"/>
      <c r="AV18" s="70"/>
      <c r="AW18" s="70"/>
      <c r="AX18" s="70"/>
      <c r="AY18" s="71"/>
      <c r="AZ18" s="75"/>
      <c r="BA18" s="76"/>
      <c r="BB18" s="77"/>
      <c r="BC18" s="71"/>
      <c r="BD18" s="71"/>
      <c r="BE18" s="76"/>
      <c r="BF18" s="76"/>
      <c r="BG18" s="76"/>
      <c r="BH18" s="76"/>
      <c r="BI18" s="78"/>
      <c r="BJ18" s="79"/>
      <c r="BK18" s="78"/>
      <c r="BL18" s="78"/>
      <c r="BM18" s="80"/>
      <c r="BN18" s="80"/>
      <c r="BO18" s="80"/>
      <c r="BQ18" s="109"/>
      <c r="BR18" s="82"/>
      <c r="BS18" s="111"/>
      <c r="BU18" s="84"/>
      <c r="BV18" s="84"/>
      <c r="BW18" s="84"/>
      <c r="BX18" s="84"/>
      <c r="BY18" s="84"/>
      <c r="BZ18" s="84"/>
      <c r="CA18" s="85"/>
      <c r="CB18" s="86"/>
      <c r="CC18" s="87"/>
      <c r="CD18" s="88"/>
      <c r="CE18" s="89"/>
      <c r="CF18" s="88"/>
      <c r="CG18" s="88"/>
      <c r="CI18" s="113"/>
      <c r="CJ18" s="91"/>
      <c r="CK18" s="92"/>
      <c r="CL18" s="93"/>
      <c r="CM18" s="94"/>
      <c r="CN18" s="95"/>
      <c r="CO18" s="96"/>
      <c r="CP18" s="97"/>
      <c r="CQ18" s="98"/>
      <c r="CR18" s="98"/>
      <c r="CS18" s="99"/>
      <c r="CT18" s="112"/>
      <c r="CU18" s="90"/>
      <c r="CV18" s="90"/>
      <c r="CW18" s="90"/>
      <c r="CX18" s="114"/>
      <c r="CY18" s="100"/>
      <c r="CZ18" s="100"/>
      <c r="DA18" s="100"/>
      <c r="DB18" s="100"/>
      <c r="DC18" s="101"/>
      <c r="DD18" s="102"/>
      <c r="DE18" s="102"/>
      <c r="DF18" s="102"/>
      <c r="DG18" s="103"/>
      <c r="DH18" s="104"/>
      <c r="DI18" s="104"/>
      <c r="DJ18" s="104"/>
      <c r="DK18" s="105"/>
      <c r="DL18" s="106"/>
      <c r="DM18" s="84"/>
      <c r="DN18" s="107"/>
      <c r="DO18" s="84"/>
      <c r="DP18" s="84"/>
      <c r="DQ18" s="106"/>
      <c r="DR18" s="107"/>
      <c r="DS18" s="106"/>
      <c r="DT18" s="106"/>
      <c r="DU18" s="100"/>
      <c r="DV18" s="100"/>
      <c r="DW18" s="100"/>
      <c r="DX18" s="100"/>
      <c r="DY18" s="100"/>
      <c r="DZ18" s="100"/>
      <c r="EA18" s="100"/>
      <c r="EB18" s="100"/>
      <c r="EC18" s="100"/>
      <c r="ED18" s="100"/>
    </row>
    <row r="19" spans="1:134" ht="15.5">
      <c r="A19" s="68"/>
      <c r="B19" s="69"/>
      <c r="C19" s="70"/>
      <c r="D19" s="70"/>
      <c r="E19" s="70"/>
      <c r="F19" s="70"/>
      <c r="G19" s="70"/>
      <c r="H19" s="71"/>
      <c r="I19" s="70"/>
      <c r="J19" s="72"/>
      <c r="K19" s="73"/>
      <c r="L19" s="72"/>
      <c r="M19" s="70"/>
      <c r="N19" s="70"/>
      <c r="O19" s="71"/>
      <c r="P19" s="73"/>
      <c r="Q19" s="74"/>
      <c r="R19" s="71"/>
      <c r="S19" s="70"/>
      <c r="T19" s="70"/>
      <c r="U19" s="71"/>
      <c r="V19" s="108"/>
      <c r="W19" s="70"/>
      <c r="X19" s="72"/>
      <c r="Y19" s="72"/>
      <c r="Z19" s="72"/>
      <c r="AA19" s="71"/>
      <c r="AB19" s="71"/>
      <c r="AC19" s="71"/>
      <c r="AD19" s="70"/>
      <c r="AE19" s="70"/>
      <c r="AF19" s="71"/>
      <c r="AG19" s="71"/>
      <c r="AH19" s="70"/>
      <c r="AI19" s="70"/>
      <c r="AJ19" s="70"/>
      <c r="AK19" s="70"/>
      <c r="AL19" s="70"/>
      <c r="AM19" s="70"/>
      <c r="AN19" s="70"/>
      <c r="AO19" s="71"/>
      <c r="AP19" s="71"/>
      <c r="AQ19" s="71"/>
      <c r="AR19" s="70"/>
      <c r="AS19" s="70"/>
      <c r="AT19" s="70"/>
      <c r="AU19" s="70"/>
      <c r="AV19" s="70"/>
      <c r="AW19" s="70"/>
      <c r="AX19" s="70"/>
      <c r="AY19" s="71"/>
      <c r="AZ19" s="75"/>
      <c r="BA19" s="76"/>
      <c r="BB19" s="77"/>
      <c r="BC19" s="71"/>
      <c r="BD19" s="71"/>
      <c r="BE19" s="76"/>
      <c r="BF19" s="76"/>
      <c r="BG19" s="76"/>
      <c r="BH19" s="76"/>
      <c r="BI19" s="78"/>
      <c r="BJ19" s="79"/>
      <c r="BK19" s="78"/>
      <c r="BL19" s="78"/>
      <c r="BM19" s="80"/>
      <c r="BN19" s="80"/>
      <c r="BO19" s="80"/>
      <c r="BQ19" s="109"/>
      <c r="BR19" s="82"/>
      <c r="BS19" s="111"/>
      <c r="BU19" s="84"/>
      <c r="BV19" s="84"/>
      <c r="BW19" s="84"/>
      <c r="BX19" s="84"/>
      <c r="BY19" s="84"/>
      <c r="BZ19" s="84"/>
      <c r="CA19" s="85" t="s">
        <v>159</v>
      </c>
      <c r="CB19" s="86"/>
      <c r="CC19" s="87" t="e">
        <f>AVERAGE(CK4:CK12)/1000</f>
        <v>#DIV/0!</v>
      </c>
      <c r="CD19" s="88" t="s">
        <v>160</v>
      </c>
      <c r="CE19" s="89" t="s">
        <v>161</v>
      </c>
      <c r="CF19" s="88"/>
      <c r="CG19" s="88"/>
      <c r="CI19" s="113"/>
      <c r="CJ19" s="91"/>
      <c r="CK19" s="92"/>
      <c r="CL19" s="93"/>
      <c r="CM19" s="94"/>
      <c r="CN19" s="95"/>
      <c r="CO19" s="96"/>
      <c r="CP19" s="97"/>
      <c r="CQ19" s="98"/>
      <c r="CR19" s="98"/>
      <c r="CS19" s="99"/>
      <c r="CT19" s="112"/>
      <c r="CU19" s="90"/>
      <c r="CV19" s="90"/>
      <c r="CW19" s="90"/>
      <c r="CX19" s="114"/>
      <c r="CY19" s="100"/>
      <c r="CZ19" s="100"/>
      <c r="DA19" s="100"/>
      <c r="DB19" s="100"/>
      <c r="DC19" s="101"/>
      <c r="DD19" s="102"/>
      <c r="DE19" s="102"/>
      <c r="DF19" s="102"/>
      <c r="DG19" s="103"/>
      <c r="DH19" s="104"/>
      <c r="DI19" s="104"/>
      <c r="DJ19" s="104"/>
      <c r="DK19" s="105"/>
      <c r="DL19" s="106"/>
      <c r="DM19" s="84"/>
      <c r="DN19" s="107"/>
      <c r="DO19" s="84"/>
      <c r="DP19" s="84"/>
      <c r="DQ19" s="106"/>
      <c r="DR19" s="107"/>
      <c r="DS19" s="106"/>
      <c r="DT19" s="106"/>
      <c r="DU19" s="100"/>
      <c r="DV19" s="100"/>
      <c r="DW19" s="100"/>
      <c r="DX19" s="100"/>
      <c r="DY19" s="100"/>
      <c r="DZ19" s="100"/>
      <c r="EA19" s="100"/>
      <c r="EB19" s="100"/>
      <c r="EC19" s="100"/>
      <c r="ED19" s="100"/>
    </row>
    <row r="20" spans="1:134" ht="15.5">
      <c r="A20" s="68"/>
      <c r="B20" s="69"/>
      <c r="C20" s="70"/>
      <c r="D20" s="70"/>
      <c r="E20" s="70"/>
      <c r="F20" s="70"/>
      <c r="G20" s="70"/>
      <c r="H20" s="71"/>
      <c r="I20" s="70"/>
      <c r="J20" s="72"/>
      <c r="K20" s="73"/>
      <c r="L20" s="72"/>
      <c r="M20" s="70"/>
      <c r="N20" s="70"/>
      <c r="O20" s="71"/>
      <c r="P20" s="73"/>
      <c r="Q20" s="74"/>
      <c r="R20" s="71"/>
      <c r="S20" s="70"/>
      <c r="T20" s="70"/>
      <c r="U20" s="71"/>
      <c r="V20" s="108"/>
      <c r="W20" s="70"/>
      <c r="X20" s="72"/>
      <c r="Y20" s="72"/>
      <c r="Z20" s="72"/>
      <c r="AA20" s="71"/>
      <c r="AB20" s="71"/>
      <c r="AC20" s="71"/>
      <c r="AD20" s="70"/>
      <c r="AE20" s="70"/>
      <c r="AF20" s="71"/>
      <c r="AG20" s="71"/>
      <c r="AH20" s="70"/>
      <c r="AI20" s="70"/>
      <c r="AJ20" s="70"/>
      <c r="AK20" s="70"/>
      <c r="AL20" s="70"/>
      <c r="AM20" s="70"/>
      <c r="AN20" s="70"/>
      <c r="AO20" s="71"/>
      <c r="AP20" s="71"/>
      <c r="AQ20" s="71"/>
      <c r="AR20" s="70"/>
      <c r="AS20" s="70"/>
      <c r="AT20" s="70"/>
      <c r="AU20" s="70"/>
      <c r="AV20" s="70"/>
      <c r="AW20" s="70"/>
      <c r="AX20" s="70"/>
      <c r="AY20" s="71"/>
      <c r="AZ20" s="75"/>
      <c r="BA20" s="76"/>
      <c r="BB20" s="77"/>
      <c r="BC20" s="71"/>
      <c r="BD20" s="71"/>
      <c r="BE20" s="76"/>
      <c r="BF20" s="76"/>
      <c r="BG20" s="76"/>
      <c r="BH20" s="76"/>
      <c r="BI20" s="78"/>
      <c r="BJ20" s="79"/>
      <c r="BK20" s="78"/>
      <c r="BL20" s="78"/>
      <c r="BM20" s="80"/>
      <c r="BN20" s="80"/>
      <c r="BO20" s="80"/>
      <c r="BQ20" s="109"/>
      <c r="BR20" s="82"/>
      <c r="BS20" s="111"/>
      <c r="BU20" s="84"/>
      <c r="BV20" s="84"/>
      <c r="BW20" s="84"/>
      <c r="BX20" s="84"/>
      <c r="BY20" s="84"/>
      <c r="BZ20" s="84"/>
      <c r="CA20" s="85" t="s">
        <v>162</v>
      </c>
      <c r="CB20" s="86"/>
      <c r="CC20" s="87" t="e">
        <f>SUMPRODUCT($CK$4:$CK$12,$CJ$4:$CJ$12)/1000</f>
        <v>#DIV/0!</v>
      </c>
      <c r="CD20" s="88" t="s">
        <v>160</v>
      </c>
      <c r="CE20" s="89" t="s">
        <v>163</v>
      </c>
      <c r="CF20" s="88"/>
      <c r="CG20" s="88"/>
      <c r="CI20" s="113"/>
      <c r="CJ20" s="91"/>
      <c r="CK20" s="92"/>
      <c r="CL20" s="93"/>
      <c r="CM20" s="94"/>
      <c r="CN20" s="95"/>
      <c r="CO20" s="96"/>
      <c r="CP20" s="97"/>
      <c r="CQ20" s="98"/>
      <c r="CR20" s="98"/>
      <c r="CS20" s="99"/>
      <c r="CT20" s="112"/>
      <c r="CU20" s="90"/>
      <c r="CV20" s="90"/>
      <c r="CW20" s="90"/>
      <c r="CX20" s="114"/>
      <c r="CY20" s="100"/>
      <c r="CZ20" s="100"/>
      <c r="DA20" s="100"/>
      <c r="DB20" s="100"/>
      <c r="DC20" s="101"/>
      <c r="DD20" s="102"/>
      <c r="DE20" s="102"/>
      <c r="DF20" s="102"/>
      <c r="DG20" s="103"/>
      <c r="DH20" s="104"/>
      <c r="DI20" s="104"/>
      <c r="DJ20" s="104"/>
      <c r="DK20" s="105"/>
      <c r="DL20" s="106"/>
      <c r="DM20" s="84"/>
      <c r="DN20" s="107"/>
      <c r="DO20" s="84"/>
      <c r="DP20" s="84"/>
      <c r="DQ20" s="106"/>
      <c r="DR20" s="107"/>
      <c r="DS20" s="106"/>
      <c r="DT20" s="106"/>
      <c r="DU20" s="100"/>
      <c r="DV20" s="100"/>
      <c r="DW20" s="100"/>
      <c r="DX20" s="100"/>
      <c r="DY20" s="100"/>
      <c r="DZ20" s="100"/>
      <c r="EA20" s="100"/>
      <c r="EB20" s="100"/>
      <c r="EC20" s="100"/>
      <c r="ED20" s="100"/>
    </row>
    <row r="21" spans="1:134" ht="15.5">
      <c r="A21" s="68"/>
      <c r="B21" s="69"/>
      <c r="C21" s="70"/>
      <c r="D21" s="70"/>
      <c r="E21" s="70"/>
      <c r="F21" s="70"/>
      <c r="G21" s="70"/>
      <c r="H21" s="71"/>
      <c r="I21" s="70"/>
      <c r="J21" s="72"/>
      <c r="K21" s="73"/>
      <c r="L21" s="72"/>
      <c r="M21" s="70"/>
      <c r="N21" s="70"/>
      <c r="O21" s="71"/>
      <c r="P21" s="73"/>
      <c r="Q21" s="74"/>
      <c r="R21" s="71"/>
      <c r="S21" s="70"/>
      <c r="T21" s="70"/>
      <c r="U21" s="71"/>
      <c r="V21" s="108"/>
      <c r="W21" s="70"/>
      <c r="X21" s="72"/>
      <c r="Y21" s="72"/>
      <c r="Z21" s="72"/>
      <c r="AA21" s="71"/>
      <c r="AB21" s="71"/>
      <c r="AC21" s="71"/>
      <c r="AD21" s="70"/>
      <c r="AE21" s="70"/>
      <c r="AF21" s="71"/>
      <c r="AG21" s="71"/>
      <c r="AH21" s="70"/>
      <c r="AI21" s="70"/>
      <c r="AJ21" s="70"/>
      <c r="AK21" s="70"/>
      <c r="AL21" s="70"/>
      <c r="AM21" s="70"/>
      <c r="AN21" s="70"/>
      <c r="AO21" s="71"/>
      <c r="AP21" s="71"/>
      <c r="AQ21" s="71"/>
      <c r="AR21" s="70"/>
      <c r="AS21" s="70"/>
      <c r="AT21" s="70"/>
      <c r="AU21" s="70"/>
      <c r="AV21" s="70"/>
      <c r="AW21" s="70"/>
      <c r="AX21" s="70"/>
      <c r="AY21" s="71"/>
      <c r="AZ21" s="75"/>
      <c r="BA21" s="76"/>
      <c r="BB21" s="77"/>
      <c r="BC21" s="71"/>
      <c r="BD21" s="71"/>
      <c r="BE21" s="76"/>
      <c r="BF21" s="76"/>
      <c r="BG21" s="76"/>
      <c r="BH21" s="76"/>
      <c r="BI21" s="78"/>
      <c r="BJ21" s="79"/>
      <c r="BK21" s="78"/>
      <c r="BL21" s="78"/>
      <c r="BM21" s="80"/>
      <c r="BN21" s="80"/>
      <c r="BO21" s="80"/>
      <c r="BQ21" s="109"/>
      <c r="BR21" s="82"/>
      <c r="BS21" s="111"/>
      <c r="BU21" s="84"/>
      <c r="BV21" s="84"/>
      <c r="BW21" s="84"/>
      <c r="BX21" s="84"/>
      <c r="BY21" s="84"/>
      <c r="BZ21" s="84"/>
      <c r="CA21" s="85" t="s">
        <v>164</v>
      </c>
      <c r="CB21" s="86"/>
      <c r="CC21" s="87">
        <f>AVERAGE(CN4:CN12)</f>
        <v>872.74478295941003</v>
      </c>
      <c r="CD21" s="88" t="s">
        <v>165</v>
      </c>
      <c r="CE21" s="89"/>
      <c r="CF21" s="88"/>
      <c r="CG21" s="88"/>
      <c r="CI21" s="113"/>
      <c r="CJ21" s="91"/>
      <c r="CK21" s="92"/>
      <c r="CL21" s="93"/>
      <c r="CM21" s="94"/>
      <c r="CN21" s="95"/>
      <c r="CO21" s="96"/>
      <c r="CP21" s="97"/>
      <c r="CQ21" s="98"/>
      <c r="CR21" s="98"/>
      <c r="CS21" s="99"/>
      <c r="CT21" s="112"/>
      <c r="CU21" s="90"/>
      <c r="CV21" s="90"/>
      <c r="CW21" s="90"/>
      <c r="CX21" s="114"/>
      <c r="CY21" s="100"/>
      <c r="CZ21" s="100"/>
      <c r="DA21" s="100"/>
      <c r="DB21" s="100"/>
      <c r="DC21" s="101"/>
      <c r="DD21" s="102"/>
      <c r="DE21" s="102"/>
      <c r="DF21" s="102"/>
      <c r="DG21" s="103"/>
      <c r="DH21" s="104"/>
      <c r="DI21" s="104"/>
      <c r="DJ21" s="104"/>
      <c r="DK21" s="105"/>
      <c r="DL21" s="106"/>
      <c r="DM21" s="84"/>
      <c r="DN21" s="107"/>
      <c r="DO21" s="84"/>
      <c r="DP21" s="84"/>
      <c r="DQ21" s="106"/>
      <c r="DR21" s="107"/>
      <c r="DS21" s="106"/>
      <c r="DT21" s="106"/>
      <c r="DU21" s="100"/>
      <c r="DV21" s="100"/>
      <c r="DW21" s="100"/>
      <c r="DX21" s="100"/>
      <c r="DY21" s="100"/>
      <c r="DZ21" s="100"/>
      <c r="EA21" s="100"/>
      <c r="EB21" s="100"/>
      <c r="EC21" s="100"/>
      <c r="ED21" s="100"/>
    </row>
    <row r="22" spans="1:134" ht="15.5">
      <c r="A22" s="68"/>
      <c r="B22" s="69"/>
      <c r="C22" s="70"/>
      <c r="D22" s="70"/>
      <c r="E22" s="70"/>
      <c r="F22" s="70"/>
      <c r="G22" s="70"/>
      <c r="H22" s="71"/>
      <c r="I22" s="70"/>
      <c r="J22" s="72"/>
      <c r="K22" s="73"/>
      <c r="L22" s="72"/>
      <c r="M22" s="70"/>
      <c r="N22" s="70"/>
      <c r="O22" s="71"/>
      <c r="P22" s="73"/>
      <c r="Q22" s="74"/>
      <c r="R22" s="71"/>
      <c r="S22" s="70"/>
      <c r="T22" s="70"/>
      <c r="U22" s="71"/>
      <c r="V22" s="108"/>
      <c r="W22" s="70"/>
      <c r="X22" s="72"/>
      <c r="Y22" s="72"/>
      <c r="Z22" s="72"/>
      <c r="AA22" s="71"/>
      <c r="AB22" s="71"/>
      <c r="AC22" s="71"/>
      <c r="AD22" s="70"/>
      <c r="AE22" s="70"/>
      <c r="AF22" s="71"/>
      <c r="AG22" s="71"/>
      <c r="AH22" s="70"/>
      <c r="AI22" s="70"/>
      <c r="AJ22" s="70"/>
      <c r="AK22" s="70"/>
      <c r="AL22" s="70"/>
      <c r="AM22" s="70"/>
      <c r="AN22" s="70"/>
      <c r="AO22" s="71"/>
      <c r="AP22" s="71"/>
      <c r="AQ22" s="71"/>
      <c r="AR22" s="70"/>
      <c r="AS22" s="70"/>
      <c r="AT22" s="70"/>
      <c r="AU22" s="70"/>
      <c r="AV22" s="70"/>
      <c r="AW22" s="70"/>
      <c r="AX22" s="70"/>
      <c r="AY22" s="71"/>
      <c r="AZ22" s="75"/>
      <c r="BA22" s="76"/>
      <c r="BB22" s="77"/>
      <c r="BC22" s="71"/>
      <c r="BD22" s="71"/>
      <c r="BE22" s="76"/>
      <c r="BF22" s="76"/>
      <c r="BG22" s="76"/>
      <c r="BH22" s="76"/>
      <c r="BI22" s="78"/>
      <c r="BJ22" s="79"/>
      <c r="BK22" s="78"/>
      <c r="BL22" s="78"/>
      <c r="BM22" s="80"/>
      <c r="BN22" s="80"/>
      <c r="BO22" s="80"/>
      <c r="BQ22" s="109"/>
      <c r="BR22" s="82"/>
      <c r="BS22" s="111"/>
      <c r="BU22" s="84"/>
      <c r="BV22" s="84"/>
      <c r="BW22" s="84"/>
      <c r="BX22" s="84"/>
      <c r="BY22" s="84"/>
      <c r="BZ22" s="84"/>
      <c r="CA22" s="85" t="s">
        <v>166</v>
      </c>
      <c r="CB22" s="86"/>
      <c r="CC22" s="87">
        <f>SUMPRODUCT($CN$4:$CN$12,$CJ$4:$CJ$12)</f>
        <v>88.199732364879011</v>
      </c>
      <c r="CD22" s="88" t="s">
        <v>165</v>
      </c>
      <c r="CE22" s="89" t="s">
        <v>167</v>
      </c>
      <c r="CF22" s="88"/>
      <c r="CG22" s="88"/>
      <c r="CI22" s="113"/>
      <c r="CJ22" s="91"/>
      <c r="CK22" s="92"/>
      <c r="CL22" s="93"/>
      <c r="CM22" s="94"/>
      <c r="CN22" s="95"/>
      <c r="CO22" s="96"/>
      <c r="CP22" s="97"/>
      <c r="CQ22" s="98"/>
      <c r="CR22" s="98"/>
      <c r="CS22" s="99"/>
      <c r="CT22" s="112"/>
      <c r="CU22" s="90"/>
      <c r="CV22" s="90"/>
      <c r="CW22" s="90"/>
      <c r="CX22" s="114"/>
      <c r="CY22" s="100"/>
      <c r="CZ22" s="100"/>
      <c r="DA22" s="100"/>
      <c r="DB22" s="100"/>
      <c r="DC22" s="101"/>
      <c r="DD22" s="102"/>
      <c r="DE22" s="102"/>
      <c r="DF22" s="102"/>
      <c r="DG22" s="103"/>
      <c r="DH22" s="104"/>
      <c r="DI22" s="104"/>
      <c r="DJ22" s="104"/>
      <c r="DK22" s="105"/>
      <c r="DL22" s="106"/>
      <c r="DM22" s="84"/>
      <c r="DN22" s="107"/>
      <c r="DO22" s="84"/>
      <c r="DP22" s="84"/>
      <c r="DQ22" s="106"/>
      <c r="DR22" s="107"/>
      <c r="DS22" s="106"/>
      <c r="DT22" s="106"/>
      <c r="DU22" s="100"/>
      <c r="DV22" s="100"/>
      <c r="DW22" s="100"/>
      <c r="DX22" s="100"/>
      <c r="DY22" s="100"/>
      <c r="DZ22" s="100"/>
      <c r="EA22" s="100"/>
      <c r="EB22" s="100"/>
      <c r="EC22" s="100"/>
      <c r="ED22" s="100"/>
    </row>
    <row r="23" spans="1:134" ht="15.5">
      <c r="A23" s="68"/>
      <c r="B23" s="69"/>
      <c r="C23" s="70"/>
      <c r="D23" s="70"/>
      <c r="E23" s="70"/>
      <c r="F23" s="70"/>
      <c r="G23" s="70"/>
      <c r="H23" s="71"/>
      <c r="I23" s="70"/>
      <c r="J23" s="72"/>
      <c r="K23" s="73"/>
      <c r="L23" s="72"/>
      <c r="M23" s="70"/>
      <c r="N23" s="70"/>
      <c r="O23" s="71"/>
      <c r="P23" s="73"/>
      <c r="Q23" s="74"/>
      <c r="R23" s="71"/>
      <c r="S23" s="70"/>
      <c r="T23" s="70"/>
      <c r="U23" s="71"/>
      <c r="V23" s="108"/>
      <c r="W23" s="70"/>
      <c r="X23" s="72"/>
      <c r="Y23" s="72"/>
      <c r="Z23" s="72"/>
      <c r="AA23" s="71"/>
      <c r="AB23" s="71"/>
      <c r="AC23" s="71"/>
      <c r="AD23" s="70"/>
      <c r="AE23" s="70"/>
      <c r="AF23" s="71"/>
      <c r="AG23" s="71"/>
      <c r="AH23" s="70"/>
      <c r="AI23" s="70"/>
      <c r="AJ23" s="70"/>
      <c r="AK23" s="70"/>
      <c r="AL23" s="70"/>
      <c r="AM23" s="70"/>
      <c r="AN23" s="70"/>
      <c r="AO23" s="71"/>
      <c r="AP23" s="71"/>
      <c r="AQ23" s="71"/>
      <c r="AR23" s="70"/>
      <c r="AS23" s="70"/>
      <c r="AT23" s="70"/>
      <c r="AU23" s="70"/>
      <c r="AV23" s="70"/>
      <c r="AW23" s="70"/>
      <c r="AX23" s="70"/>
      <c r="AY23" s="71"/>
      <c r="AZ23" s="75"/>
      <c r="BA23" s="76"/>
      <c r="BB23" s="77"/>
      <c r="BC23" s="71"/>
      <c r="BD23" s="71"/>
      <c r="BE23" s="76"/>
      <c r="BF23" s="76"/>
      <c r="BG23" s="76"/>
      <c r="BH23" s="76"/>
      <c r="BI23" s="78"/>
      <c r="BJ23" s="79"/>
      <c r="BK23" s="78"/>
      <c r="BL23" s="78"/>
      <c r="BM23" s="80"/>
      <c r="BN23" s="80"/>
      <c r="BO23" s="80"/>
      <c r="BQ23" s="109"/>
      <c r="BR23" s="82"/>
      <c r="BS23" s="111"/>
      <c r="BU23" s="84"/>
      <c r="BV23" s="84"/>
      <c r="BW23" s="84"/>
      <c r="BX23" s="84"/>
      <c r="BY23" s="84"/>
      <c r="BZ23" s="84"/>
      <c r="CA23" s="85" t="s">
        <v>168</v>
      </c>
      <c r="CB23" s="86"/>
      <c r="CC23" s="87"/>
      <c r="CD23" s="88"/>
      <c r="CE23" s="89"/>
      <c r="CF23" s="88"/>
      <c r="CG23" s="88"/>
      <c r="CI23" s="113"/>
      <c r="CJ23" s="91"/>
      <c r="CK23" s="92"/>
      <c r="CL23" s="93"/>
      <c r="CM23" s="94"/>
      <c r="CN23" s="95"/>
      <c r="CO23" s="96"/>
      <c r="CP23" s="97"/>
      <c r="CQ23" s="98"/>
      <c r="CR23" s="98"/>
      <c r="CS23" s="99"/>
      <c r="CT23" s="112"/>
      <c r="CU23" s="90"/>
      <c r="CV23" s="90"/>
      <c r="CW23" s="90"/>
      <c r="CX23" s="114"/>
      <c r="CY23" s="100"/>
      <c r="CZ23" s="100"/>
      <c r="DA23" s="100"/>
      <c r="DB23" s="100"/>
      <c r="DC23" s="101"/>
      <c r="DD23" s="102"/>
      <c r="DE23" s="102"/>
      <c r="DF23" s="102"/>
      <c r="DG23" s="103"/>
      <c r="DH23" s="104"/>
      <c r="DI23" s="104"/>
      <c r="DJ23" s="104"/>
      <c r="DK23" s="105"/>
      <c r="DL23" s="106"/>
      <c r="DM23" s="84"/>
      <c r="DN23" s="107"/>
      <c r="DO23" s="84"/>
      <c r="DP23" s="84"/>
      <c r="DQ23" s="106"/>
      <c r="DR23" s="107"/>
      <c r="DS23" s="106"/>
      <c r="DT23" s="106"/>
      <c r="DU23" s="100"/>
      <c r="DV23" s="100"/>
      <c r="DW23" s="100"/>
      <c r="DX23" s="100"/>
      <c r="DY23" s="100"/>
      <c r="DZ23" s="100"/>
      <c r="EA23" s="100"/>
      <c r="EB23" s="100"/>
      <c r="EC23" s="100"/>
      <c r="ED23" s="100"/>
    </row>
    <row r="24" spans="1:134" ht="15.5">
      <c r="A24" s="68"/>
      <c r="B24" s="69"/>
      <c r="C24" s="70"/>
      <c r="D24" s="70"/>
      <c r="E24" s="70"/>
      <c r="F24" s="70"/>
      <c r="G24" s="70"/>
      <c r="H24" s="71"/>
      <c r="I24" s="70"/>
      <c r="J24" s="72"/>
      <c r="K24" s="73"/>
      <c r="L24" s="72"/>
      <c r="M24" s="70"/>
      <c r="N24" s="70"/>
      <c r="O24" s="71"/>
      <c r="P24" s="73"/>
      <c r="Q24" s="74"/>
      <c r="R24" s="71"/>
      <c r="S24" s="70"/>
      <c r="T24" s="70"/>
      <c r="U24" s="71"/>
      <c r="V24" s="108"/>
      <c r="W24" s="70"/>
      <c r="X24" s="72"/>
      <c r="Y24" s="72"/>
      <c r="Z24" s="72"/>
      <c r="AA24" s="71"/>
      <c r="AB24" s="71"/>
      <c r="AC24" s="71"/>
      <c r="AD24" s="70"/>
      <c r="AE24" s="70"/>
      <c r="AF24" s="71"/>
      <c r="AG24" s="71"/>
      <c r="AH24" s="70"/>
      <c r="AI24" s="70"/>
      <c r="AJ24" s="70"/>
      <c r="AK24" s="70"/>
      <c r="AL24" s="70"/>
      <c r="AM24" s="70"/>
      <c r="AN24" s="70"/>
      <c r="AO24" s="71"/>
      <c r="AP24" s="71"/>
      <c r="AQ24" s="71"/>
      <c r="AR24" s="70"/>
      <c r="AS24" s="70"/>
      <c r="AT24" s="70"/>
      <c r="AU24" s="70"/>
      <c r="AV24" s="70"/>
      <c r="AW24" s="70"/>
      <c r="AX24" s="70"/>
      <c r="AY24" s="71"/>
      <c r="AZ24" s="75"/>
      <c r="BA24" s="76"/>
      <c r="BB24" s="77"/>
      <c r="BC24" s="71"/>
      <c r="BD24" s="71"/>
      <c r="BE24" s="76"/>
      <c r="BF24" s="76"/>
      <c r="BG24" s="76"/>
      <c r="BH24" s="76"/>
      <c r="BI24" s="78"/>
      <c r="BJ24" s="79"/>
      <c r="BK24" s="78"/>
      <c r="BL24" s="78"/>
      <c r="BM24" s="80"/>
      <c r="BN24" s="80"/>
      <c r="BO24" s="80"/>
      <c r="BQ24" s="109"/>
      <c r="BR24" s="82"/>
      <c r="BS24" s="111"/>
      <c r="BU24" s="84"/>
      <c r="BV24" s="84"/>
      <c r="BW24" s="84"/>
      <c r="BX24" s="84"/>
      <c r="BY24" s="84"/>
      <c r="BZ24" s="84"/>
      <c r="CA24" s="85"/>
      <c r="CB24" s="86"/>
      <c r="CC24" s="87"/>
      <c r="CD24" s="88"/>
      <c r="CE24" s="89"/>
      <c r="CF24" s="88"/>
      <c r="CG24" s="88"/>
      <c r="CI24" s="113"/>
      <c r="CJ24" s="91"/>
      <c r="CK24" s="92"/>
      <c r="CL24" s="93"/>
      <c r="CM24" s="94"/>
      <c r="CN24" s="95"/>
      <c r="CO24" s="96"/>
      <c r="CP24" s="97"/>
      <c r="CQ24" s="98"/>
      <c r="CR24" s="98"/>
      <c r="CS24" s="99"/>
      <c r="CT24" s="112"/>
      <c r="CU24" s="90"/>
      <c r="CV24" s="90"/>
      <c r="CW24" s="90"/>
      <c r="CX24" s="114"/>
      <c r="CY24" s="100"/>
      <c r="CZ24" s="100"/>
      <c r="DA24" s="100"/>
      <c r="DB24" s="100"/>
      <c r="DC24" s="101"/>
      <c r="DD24" s="102"/>
      <c r="DE24" s="102"/>
      <c r="DF24" s="102"/>
      <c r="DG24" s="103"/>
      <c r="DH24" s="104"/>
      <c r="DI24" s="104"/>
      <c r="DJ24" s="104"/>
      <c r="DK24" s="105"/>
      <c r="DL24" s="106"/>
      <c r="DM24" s="84"/>
      <c r="DN24" s="107"/>
      <c r="DO24" s="84"/>
      <c r="DP24" s="84"/>
      <c r="DQ24" s="106"/>
      <c r="DR24" s="107"/>
      <c r="DS24" s="106"/>
      <c r="DT24" s="106"/>
      <c r="DU24" s="100"/>
      <c r="DV24" s="100"/>
      <c r="DW24" s="100"/>
      <c r="DX24" s="100"/>
      <c r="DY24" s="100"/>
      <c r="DZ24" s="100"/>
      <c r="EA24" s="100"/>
      <c r="EB24" s="100"/>
      <c r="EC24" s="100"/>
      <c r="ED24" s="100"/>
    </row>
    <row r="25" spans="1:134" ht="15.5">
      <c r="A25" s="68"/>
      <c r="B25" s="69"/>
      <c r="C25" s="70"/>
      <c r="D25" s="70"/>
      <c r="E25" s="70"/>
      <c r="F25" s="70"/>
      <c r="G25" s="70"/>
      <c r="H25" s="71"/>
      <c r="I25" s="70"/>
      <c r="J25" s="72"/>
      <c r="K25" s="73"/>
      <c r="L25" s="72"/>
      <c r="M25" s="70"/>
      <c r="N25" s="70"/>
      <c r="O25" s="71"/>
      <c r="P25" s="73"/>
      <c r="Q25" s="74"/>
      <c r="R25" s="71"/>
      <c r="S25" s="70"/>
      <c r="T25" s="70"/>
      <c r="U25" s="71"/>
      <c r="V25" s="108"/>
      <c r="W25" s="70"/>
      <c r="X25" s="72"/>
      <c r="Y25" s="72"/>
      <c r="Z25" s="72"/>
      <c r="AA25" s="71"/>
      <c r="AB25" s="71"/>
      <c r="AC25" s="71"/>
      <c r="AD25" s="70"/>
      <c r="AE25" s="70"/>
      <c r="AF25" s="71"/>
      <c r="AG25" s="71"/>
      <c r="AH25" s="70"/>
      <c r="AI25" s="70"/>
      <c r="AJ25" s="70"/>
      <c r="AK25" s="70"/>
      <c r="AL25" s="70"/>
      <c r="AM25" s="70"/>
      <c r="AN25" s="70"/>
      <c r="AO25" s="71"/>
      <c r="AP25" s="71"/>
      <c r="AQ25" s="71"/>
      <c r="AR25" s="70"/>
      <c r="AS25" s="70"/>
      <c r="AT25" s="70"/>
      <c r="AU25" s="70"/>
      <c r="AV25" s="70"/>
      <c r="AW25" s="70"/>
      <c r="AX25" s="70"/>
      <c r="AY25" s="71"/>
      <c r="AZ25" s="75"/>
      <c r="BA25" s="76"/>
      <c r="BB25" s="77"/>
      <c r="BC25" s="71"/>
      <c r="BD25" s="71"/>
      <c r="BE25" s="76"/>
      <c r="BF25" s="76"/>
      <c r="BG25" s="76"/>
      <c r="BH25" s="76"/>
      <c r="BI25" s="78"/>
      <c r="BJ25" s="79"/>
      <c r="BK25" s="78"/>
      <c r="BL25" s="78"/>
      <c r="BM25" s="80"/>
      <c r="BN25" s="80"/>
      <c r="BO25" s="80"/>
      <c r="BQ25" s="109"/>
      <c r="BR25" s="82"/>
      <c r="BS25" s="111"/>
      <c r="BU25" s="84"/>
      <c r="BV25" s="84"/>
      <c r="BW25" s="84"/>
      <c r="BX25" s="84"/>
      <c r="BY25" s="84"/>
      <c r="BZ25" s="84"/>
      <c r="CA25" s="85"/>
      <c r="CB25" s="86"/>
      <c r="CC25" s="87"/>
      <c r="CD25" s="88"/>
      <c r="CE25" s="89" t="s">
        <v>169</v>
      </c>
      <c r="CF25" s="88"/>
      <c r="CG25" s="88"/>
      <c r="CI25" s="113"/>
      <c r="CJ25" s="91"/>
      <c r="CK25" s="92"/>
      <c r="CL25" s="93"/>
      <c r="CM25" s="94"/>
      <c r="CN25" s="95"/>
      <c r="CO25" s="96"/>
      <c r="CP25" s="97"/>
      <c r="CQ25" s="98"/>
      <c r="CR25" s="98"/>
      <c r="CS25" s="99"/>
      <c r="CT25" s="112"/>
      <c r="CU25" s="90"/>
      <c r="CV25" s="90"/>
      <c r="CW25" s="90"/>
      <c r="CX25" s="114"/>
      <c r="CY25" s="100"/>
      <c r="CZ25" s="100"/>
      <c r="DA25" s="100"/>
      <c r="DB25" s="100"/>
      <c r="DC25" s="101"/>
      <c r="DD25" s="102"/>
      <c r="DE25" s="102"/>
      <c r="DF25" s="102"/>
      <c r="DG25" s="103"/>
      <c r="DH25" s="104"/>
      <c r="DI25" s="104"/>
      <c r="DJ25" s="104"/>
      <c r="DK25" s="105"/>
      <c r="DL25" s="106"/>
      <c r="DM25" s="84"/>
      <c r="DN25" s="107"/>
      <c r="DO25" s="84"/>
      <c r="DP25" s="84"/>
      <c r="DQ25" s="106"/>
      <c r="DR25" s="107"/>
      <c r="DS25" s="106"/>
      <c r="DT25" s="106"/>
      <c r="DU25" s="100"/>
      <c r="DV25" s="100"/>
      <c r="DW25" s="100"/>
      <c r="DX25" s="100"/>
      <c r="DY25" s="100"/>
      <c r="DZ25" s="100"/>
      <c r="EA25" s="100"/>
      <c r="EB25" s="100"/>
      <c r="EC25" s="100"/>
      <c r="ED25" s="100"/>
    </row>
    <row r="26" spans="1:134" ht="15.5">
      <c r="A26" s="68"/>
      <c r="B26" s="69"/>
      <c r="C26" s="70"/>
      <c r="D26" s="70"/>
      <c r="E26" s="70"/>
      <c r="F26" s="70"/>
      <c r="G26" s="70"/>
      <c r="H26" s="71"/>
      <c r="I26" s="70"/>
      <c r="J26" s="72"/>
      <c r="K26" s="73"/>
      <c r="L26" s="72"/>
      <c r="M26" s="70"/>
      <c r="N26" s="70"/>
      <c r="O26" s="71"/>
      <c r="P26" s="73"/>
      <c r="Q26" s="74"/>
      <c r="R26" s="71"/>
      <c r="S26" s="70"/>
      <c r="T26" s="70"/>
      <c r="U26" s="71"/>
      <c r="V26" s="108"/>
      <c r="W26" s="70"/>
      <c r="X26" s="72"/>
      <c r="Y26" s="72"/>
      <c r="Z26" s="72"/>
      <c r="AA26" s="71"/>
      <c r="AB26" s="71"/>
      <c r="AC26" s="71"/>
      <c r="AD26" s="70"/>
      <c r="AE26" s="70"/>
      <c r="AF26" s="71"/>
      <c r="AG26" s="71"/>
      <c r="AH26" s="70"/>
      <c r="AI26" s="70"/>
      <c r="AJ26" s="70"/>
      <c r="AK26" s="70"/>
      <c r="AL26" s="70"/>
      <c r="AM26" s="70"/>
      <c r="AN26" s="70"/>
      <c r="AO26" s="71"/>
      <c r="AP26" s="71"/>
      <c r="AQ26" s="71"/>
      <c r="AR26" s="70"/>
      <c r="AS26" s="70"/>
      <c r="AT26" s="70"/>
      <c r="AU26" s="70"/>
      <c r="AV26" s="70"/>
      <c r="AW26" s="70"/>
      <c r="AX26" s="70"/>
      <c r="AY26" s="71"/>
      <c r="AZ26" s="75"/>
      <c r="BA26" s="76"/>
      <c r="BB26" s="77"/>
      <c r="BC26" s="71"/>
      <c r="BD26" s="71"/>
      <c r="BE26" s="76"/>
      <c r="BF26" s="76"/>
      <c r="BG26" s="76"/>
      <c r="BH26" s="76"/>
      <c r="BI26" s="78"/>
      <c r="BJ26" s="79"/>
      <c r="BK26" s="78"/>
      <c r="BL26" s="78"/>
      <c r="BM26" s="80"/>
      <c r="BN26" s="80"/>
      <c r="BO26" s="80"/>
      <c r="BQ26" s="109"/>
      <c r="BR26" s="82"/>
      <c r="BS26" s="111"/>
      <c r="BU26" s="84"/>
      <c r="BV26" s="84"/>
      <c r="BW26" s="84"/>
      <c r="BX26" s="84"/>
      <c r="BY26" s="84"/>
      <c r="BZ26" s="84"/>
      <c r="CA26" s="85" t="s">
        <v>170</v>
      </c>
      <c r="CB26" s="86"/>
      <c r="CC26" s="87"/>
      <c r="CD26" s="88"/>
      <c r="CE26" s="89"/>
      <c r="CF26" s="88"/>
      <c r="CG26" s="88"/>
      <c r="CI26" s="113"/>
      <c r="CJ26" s="91"/>
      <c r="CK26" s="92"/>
      <c r="CL26" s="93"/>
      <c r="CM26" s="94"/>
      <c r="CN26" s="95"/>
      <c r="CO26" s="96"/>
      <c r="CP26" s="97"/>
      <c r="CQ26" s="98"/>
      <c r="CR26" s="98"/>
      <c r="CS26" s="99"/>
      <c r="CT26" s="112"/>
      <c r="CU26" s="90"/>
      <c r="CV26" s="90"/>
      <c r="CW26" s="90"/>
      <c r="CX26" s="114"/>
      <c r="CY26" s="100"/>
      <c r="CZ26" s="100"/>
      <c r="DA26" s="100"/>
      <c r="DB26" s="100"/>
      <c r="DC26" s="101"/>
      <c r="DD26" s="102"/>
      <c r="DE26" s="102"/>
      <c r="DF26" s="102"/>
      <c r="DG26" s="103"/>
      <c r="DH26" s="104"/>
      <c r="DI26" s="104"/>
      <c r="DJ26" s="104"/>
      <c r="DK26" s="105"/>
      <c r="DL26" s="106"/>
      <c r="DM26" s="84"/>
      <c r="DN26" s="107"/>
      <c r="DO26" s="84"/>
      <c r="DP26" s="84"/>
      <c r="DQ26" s="106"/>
      <c r="DR26" s="107"/>
      <c r="DS26" s="106"/>
      <c r="DT26" s="106"/>
      <c r="DU26" s="100"/>
      <c r="DV26" s="100"/>
      <c r="DW26" s="100"/>
      <c r="DX26" s="100"/>
      <c r="DY26" s="100"/>
      <c r="DZ26" s="100"/>
      <c r="EA26" s="100"/>
      <c r="EB26" s="100"/>
      <c r="EC26" s="100"/>
      <c r="ED26" s="100"/>
    </row>
    <row r="27" spans="1:134" ht="15.5">
      <c r="A27" s="68"/>
      <c r="B27" s="69"/>
      <c r="C27" s="70"/>
      <c r="D27" s="70"/>
      <c r="E27" s="70"/>
      <c r="F27" s="70"/>
      <c r="G27" s="70"/>
      <c r="H27" s="71"/>
      <c r="I27" s="70"/>
      <c r="J27" s="72"/>
      <c r="K27" s="73"/>
      <c r="L27" s="72"/>
      <c r="M27" s="70"/>
      <c r="N27" s="70"/>
      <c r="O27" s="71"/>
      <c r="P27" s="73"/>
      <c r="Q27" s="74"/>
      <c r="R27" s="71"/>
      <c r="S27" s="70"/>
      <c r="T27" s="70"/>
      <c r="U27" s="71"/>
      <c r="V27" s="108"/>
      <c r="W27" s="70"/>
      <c r="X27" s="72"/>
      <c r="Y27" s="72"/>
      <c r="Z27" s="72"/>
      <c r="AA27" s="71"/>
      <c r="AB27" s="71"/>
      <c r="AC27" s="71"/>
      <c r="AD27" s="70"/>
      <c r="AE27" s="70"/>
      <c r="AF27" s="71"/>
      <c r="AG27" s="71"/>
      <c r="AH27" s="70"/>
      <c r="AI27" s="70"/>
      <c r="AJ27" s="70"/>
      <c r="AK27" s="70"/>
      <c r="AL27" s="70"/>
      <c r="AM27" s="70"/>
      <c r="AN27" s="70"/>
      <c r="AO27" s="71"/>
      <c r="AP27" s="71"/>
      <c r="AQ27" s="71"/>
      <c r="AR27" s="70"/>
      <c r="AS27" s="70"/>
      <c r="AT27" s="70"/>
      <c r="AU27" s="70"/>
      <c r="AV27" s="70"/>
      <c r="AW27" s="70"/>
      <c r="AX27" s="70"/>
      <c r="AY27" s="71"/>
      <c r="AZ27" s="75"/>
      <c r="BA27" s="76"/>
      <c r="BB27" s="77"/>
      <c r="BC27" s="71"/>
      <c r="BD27" s="71"/>
      <c r="BE27" s="76"/>
      <c r="BF27" s="76"/>
      <c r="BG27" s="76"/>
      <c r="BH27" s="76"/>
      <c r="BI27" s="78"/>
      <c r="BJ27" s="79"/>
      <c r="BK27" s="78"/>
      <c r="BL27" s="78"/>
      <c r="BM27" s="80"/>
      <c r="BN27" s="80"/>
      <c r="BO27" s="80"/>
      <c r="BQ27" s="109"/>
      <c r="BR27" s="82"/>
      <c r="BS27" s="111"/>
      <c r="BU27" s="84"/>
      <c r="BV27" s="84"/>
      <c r="BW27" s="84"/>
      <c r="BX27" s="84"/>
      <c r="BY27" s="84"/>
      <c r="BZ27" s="84"/>
      <c r="CA27" s="85" t="s">
        <v>171</v>
      </c>
      <c r="CB27" s="86">
        <v>0.84</v>
      </c>
      <c r="CC27" s="87"/>
      <c r="CD27" s="88"/>
      <c r="CE27" s="89"/>
      <c r="CF27" s="88"/>
      <c r="CG27" s="88"/>
      <c r="CI27" s="113"/>
      <c r="CJ27" s="91"/>
      <c r="CK27" s="92"/>
      <c r="CL27" s="93"/>
      <c r="CM27" s="94"/>
      <c r="CN27" s="95"/>
      <c r="CO27" s="96"/>
      <c r="CP27" s="97"/>
      <c r="CQ27" s="98"/>
      <c r="CR27" s="98"/>
      <c r="CS27" s="99"/>
      <c r="CT27" s="112"/>
      <c r="CU27" s="90"/>
      <c r="CV27" s="90"/>
      <c r="CW27" s="90"/>
      <c r="CX27" s="114"/>
      <c r="CY27" s="100"/>
      <c r="CZ27" s="100"/>
      <c r="DA27" s="100"/>
      <c r="DB27" s="100"/>
      <c r="DC27" s="101"/>
      <c r="DD27" s="102"/>
      <c r="DE27" s="102"/>
      <c r="DF27" s="102"/>
      <c r="DG27" s="103"/>
      <c r="DH27" s="104"/>
      <c r="DI27" s="104"/>
      <c r="DJ27" s="104"/>
      <c r="DK27" s="105"/>
      <c r="DL27" s="106"/>
      <c r="DM27" s="84"/>
      <c r="DN27" s="107"/>
      <c r="DO27" s="84"/>
      <c r="DP27" s="84"/>
      <c r="DQ27" s="106"/>
      <c r="DR27" s="107"/>
      <c r="DS27" s="106"/>
      <c r="DT27" s="106"/>
      <c r="DU27" s="100"/>
      <c r="DV27" s="100"/>
      <c r="DW27" s="100"/>
      <c r="DX27" s="100"/>
      <c r="DY27" s="100"/>
      <c r="DZ27" s="100"/>
      <c r="EA27" s="100"/>
      <c r="EB27" s="100"/>
      <c r="EC27" s="100"/>
      <c r="ED27" s="100"/>
    </row>
    <row r="28" spans="1:134" ht="15.5">
      <c r="A28" s="68"/>
      <c r="B28" s="69"/>
      <c r="C28" s="70"/>
      <c r="D28" s="70"/>
      <c r="E28" s="70"/>
      <c r="F28" s="70"/>
      <c r="G28" s="70"/>
      <c r="H28" s="71"/>
      <c r="I28" s="70"/>
      <c r="J28" s="72"/>
      <c r="K28" s="73"/>
      <c r="L28" s="72"/>
      <c r="M28" s="70"/>
      <c r="N28" s="70"/>
      <c r="O28" s="71"/>
      <c r="P28" s="73"/>
      <c r="Q28" s="74"/>
      <c r="R28" s="71"/>
      <c r="S28" s="70"/>
      <c r="T28" s="70"/>
      <c r="U28" s="71"/>
      <c r="V28" s="108"/>
      <c r="W28" s="70"/>
      <c r="X28" s="72"/>
      <c r="Y28" s="72"/>
      <c r="Z28" s="72"/>
      <c r="AA28" s="71"/>
      <c r="AB28" s="71"/>
      <c r="AC28" s="71"/>
      <c r="AD28" s="70"/>
      <c r="AE28" s="70"/>
      <c r="AF28" s="71"/>
      <c r="AG28" s="71"/>
      <c r="AH28" s="70"/>
      <c r="AI28" s="70"/>
      <c r="AJ28" s="70"/>
      <c r="AK28" s="70"/>
      <c r="AL28" s="70"/>
      <c r="AM28" s="70"/>
      <c r="AN28" s="70"/>
      <c r="AO28" s="71"/>
      <c r="AP28" s="71"/>
      <c r="AQ28" s="71"/>
      <c r="AR28" s="70"/>
      <c r="AS28" s="70"/>
      <c r="AT28" s="70"/>
      <c r="AU28" s="70"/>
      <c r="AV28" s="70"/>
      <c r="AW28" s="70"/>
      <c r="AX28" s="70"/>
      <c r="AY28" s="71"/>
      <c r="AZ28" s="75"/>
      <c r="BA28" s="76"/>
      <c r="BB28" s="77"/>
      <c r="BC28" s="71"/>
      <c r="BD28" s="71"/>
      <c r="BE28" s="76"/>
      <c r="BF28" s="76"/>
      <c r="BG28" s="76"/>
      <c r="BH28" s="76"/>
      <c r="BI28" s="78"/>
      <c r="BJ28" s="79"/>
      <c r="BK28" s="78"/>
      <c r="BL28" s="78"/>
      <c r="BM28" s="80"/>
      <c r="BN28" s="80"/>
      <c r="BO28" s="80"/>
      <c r="BQ28" s="109"/>
      <c r="BR28" s="82"/>
      <c r="BS28" s="111"/>
      <c r="BU28" s="84"/>
      <c r="BV28" s="84"/>
      <c r="BW28" s="84"/>
      <c r="BX28" s="84"/>
      <c r="BY28" s="84"/>
      <c r="BZ28" s="84"/>
      <c r="CA28" s="85" t="s">
        <v>172</v>
      </c>
      <c r="CB28" s="86">
        <v>0.11</v>
      </c>
      <c r="CC28" s="87"/>
      <c r="CD28" s="88"/>
      <c r="CE28" s="89"/>
      <c r="CF28" s="88"/>
      <c r="CG28" s="88"/>
      <c r="CI28" s="113"/>
      <c r="CJ28" s="91"/>
      <c r="CK28" s="92"/>
      <c r="CL28" s="93"/>
      <c r="CM28" s="94"/>
      <c r="CN28" s="95"/>
      <c r="CO28" s="96"/>
      <c r="CP28" s="97"/>
      <c r="CQ28" s="98"/>
      <c r="CR28" s="98"/>
      <c r="CS28" s="99"/>
      <c r="CT28" s="112"/>
      <c r="CU28" s="90"/>
      <c r="CV28" s="90"/>
      <c r="CW28" s="90"/>
      <c r="CX28" s="114"/>
      <c r="CY28" s="100"/>
      <c r="CZ28" s="100"/>
      <c r="DA28" s="100"/>
      <c r="DB28" s="100"/>
      <c r="DC28" s="101"/>
      <c r="DD28" s="102"/>
      <c r="DE28" s="102"/>
      <c r="DF28" s="102"/>
      <c r="DG28" s="103"/>
      <c r="DH28" s="104"/>
      <c r="DI28" s="104"/>
      <c r="DJ28" s="104"/>
      <c r="DK28" s="105"/>
      <c r="DL28" s="106"/>
      <c r="DM28" s="84"/>
      <c r="DN28" s="107"/>
      <c r="DO28" s="84"/>
      <c r="DP28" s="84"/>
      <c r="DQ28" s="106"/>
      <c r="DR28" s="107"/>
      <c r="DS28" s="106"/>
      <c r="DT28" s="106"/>
      <c r="DU28" s="100"/>
      <c r="DV28" s="100"/>
      <c r="DW28" s="100"/>
      <c r="DX28" s="100"/>
      <c r="DY28" s="100"/>
      <c r="DZ28" s="100"/>
      <c r="EA28" s="100"/>
      <c r="EB28" s="100"/>
      <c r="EC28" s="100"/>
      <c r="ED28" s="100"/>
    </row>
    <row r="29" spans="1:134" ht="15.5">
      <c r="A29" s="68"/>
      <c r="B29" s="69"/>
      <c r="C29" s="70"/>
      <c r="D29" s="70"/>
      <c r="E29" s="70"/>
      <c r="F29" s="70"/>
      <c r="G29" s="70"/>
      <c r="H29" s="71"/>
      <c r="I29" s="70"/>
      <c r="J29" s="72"/>
      <c r="K29" s="73"/>
      <c r="L29" s="72"/>
      <c r="M29" s="70"/>
      <c r="N29" s="70"/>
      <c r="O29" s="71"/>
      <c r="P29" s="73"/>
      <c r="Q29" s="74"/>
      <c r="R29" s="71"/>
      <c r="S29" s="70"/>
      <c r="T29" s="70"/>
      <c r="U29" s="71"/>
      <c r="V29" s="108"/>
      <c r="W29" s="70"/>
      <c r="X29" s="72"/>
      <c r="Y29" s="72"/>
      <c r="Z29" s="72"/>
      <c r="AA29" s="71"/>
      <c r="AB29" s="71"/>
      <c r="AC29" s="71"/>
      <c r="AD29" s="70"/>
      <c r="AE29" s="70"/>
      <c r="AF29" s="71"/>
      <c r="AG29" s="71"/>
      <c r="AH29" s="70"/>
      <c r="AI29" s="70"/>
      <c r="AJ29" s="70"/>
      <c r="AK29" s="70"/>
      <c r="AL29" s="70"/>
      <c r="AM29" s="70"/>
      <c r="AN29" s="70"/>
      <c r="AO29" s="71"/>
      <c r="AP29" s="71"/>
      <c r="AQ29" s="71"/>
      <c r="AR29" s="70"/>
      <c r="AS29" s="70"/>
      <c r="AT29" s="70"/>
      <c r="AU29" s="70"/>
      <c r="AV29" s="70"/>
      <c r="AW29" s="70"/>
      <c r="AX29" s="70"/>
      <c r="AY29" s="71"/>
      <c r="AZ29" s="75"/>
      <c r="BA29" s="76"/>
      <c r="BB29" s="77"/>
      <c r="BC29" s="71"/>
      <c r="BD29" s="71"/>
      <c r="BE29" s="76"/>
      <c r="BF29" s="76"/>
      <c r="BG29" s="76"/>
      <c r="BH29" s="76"/>
      <c r="BI29" s="78"/>
      <c r="BJ29" s="79"/>
      <c r="BK29" s="78"/>
      <c r="BL29" s="78"/>
      <c r="BM29" s="80"/>
      <c r="BN29" s="80"/>
      <c r="BO29" s="80"/>
      <c r="BQ29" s="109"/>
      <c r="BR29" s="82"/>
      <c r="BS29" s="111"/>
      <c r="BU29" s="84"/>
      <c r="BV29" s="84"/>
      <c r="BW29" s="84"/>
      <c r="BX29" s="84"/>
      <c r="BY29" s="84"/>
      <c r="BZ29" s="84"/>
      <c r="CA29" s="85" t="s">
        <v>173</v>
      </c>
      <c r="CB29" s="86">
        <f>SUMIFS($CJ$4:$CJ$13,$CK$4:$CK$13,"&gt;500",$CK$4:$CK$13,"&lt;1000")</f>
        <v>0</v>
      </c>
      <c r="CC29" s="87"/>
      <c r="CD29" s="88"/>
      <c r="CE29" s="89"/>
      <c r="CF29" s="88"/>
      <c r="CG29" s="88"/>
      <c r="CI29" s="113"/>
      <c r="CJ29" s="91"/>
      <c r="CK29" s="92"/>
      <c r="CL29" s="93"/>
      <c r="CM29" s="94"/>
      <c r="CN29" s="95"/>
      <c r="CO29" s="96"/>
      <c r="CP29" s="97"/>
      <c r="CQ29" s="98"/>
      <c r="CR29" s="98"/>
      <c r="CS29" s="99"/>
      <c r="CT29" s="112"/>
      <c r="CU29" s="90"/>
      <c r="CV29" s="90"/>
      <c r="CW29" s="90"/>
      <c r="CX29" s="114"/>
      <c r="CY29" s="100"/>
      <c r="CZ29" s="100"/>
      <c r="DA29" s="100"/>
      <c r="DB29" s="100"/>
      <c r="DC29" s="101"/>
      <c r="DD29" s="102"/>
      <c r="DE29" s="102"/>
      <c r="DF29" s="102"/>
      <c r="DG29" s="103"/>
      <c r="DH29" s="104"/>
      <c r="DI29" s="104"/>
      <c r="DJ29" s="104"/>
      <c r="DK29" s="105"/>
      <c r="DL29" s="106"/>
      <c r="DM29" s="84"/>
      <c r="DN29" s="107"/>
      <c r="DO29" s="84"/>
      <c r="DP29" s="84"/>
      <c r="DQ29" s="106"/>
      <c r="DR29" s="107"/>
      <c r="DS29" s="106"/>
      <c r="DT29" s="106"/>
      <c r="DU29" s="100"/>
      <c r="DV29" s="100"/>
      <c r="DW29" s="100"/>
      <c r="DX29" s="100"/>
      <c r="DY29" s="100"/>
      <c r="DZ29" s="100"/>
      <c r="EA29" s="100"/>
      <c r="EB29" s="100"/>
      <c r="EC29" s="100"/>
      <c r="ED29" s="100"/>
    </row>
    <row r="30" spans="1:134" ht="15.5">
      <c r="A30" s="68"/>
      <c r="B30" s="69"/>
      <c r="C30" s="70"/>
      <c r="D30" s="70"/>
      <c r="E30" s="70"/>
      <c r="F30" s="70"/>
      <c r="G30" s="70"/>
      <c r="H30" s="71"/>
      <c r="I30" s="70"/>
      <c r="J30" s="72"/>
      <c r="K30" s="73"/>
      <c r="L30" s="72"/>
      <c r="M30" s="70"/>
      <c r="N30" s="70"/>
      <c r="O30" s="71"/>
      <c r="P30" s="73"/>
      <c r="Q30" s="74"/>
      <c r="R30" s="71"/>
      <c r="S30" s="70"/>
      <c r="T30" s="70"/>
      <c r="U30" s="71"/>
      <c r="V30" s="108"/>
      <c r="W30" s="70"/>
      <c r="X30" s="72"/>
      <c r="Y30" s="72"/>
      <c r="Z30" s="72"/>
      <c r="AA30" s="71"/>
      <c r="AB30" s="71"/>
      <c r="AC30" s="71"/>
      <c r="AD30" s="70"/>
      <c r="AE30" s="70"/>
      <c r="AF30" s="71"/>
      <c r="AG30" s="71"/>
      <c r="AH30" s="70"/>
      <c r="AI30" s="70"/>
      <c r="AJ30" s="70"/>
      <c r="AK30" s="70"/>
      <c r="AL30" s="70"/>
      <c r="AM30" s="70"/>
      <c r="AN30" s="70"/>
      <c r="AO30" s="71"/>
      <c r="AP30" s="71"/>
      <c r="AQ30" s="71"/>
      <c r="AR30" s="70"/>
      <c r="AS30" s="70"/>
      <c r="AT30" s="70"/>
      <c r="AU30" s="70"/>
      <c r="AV30" s="70"/>
      <c r="AW30" s="70"/>
      <c r="AX30" s="70"/>
      <c r="AY30" s="71"/>
      <c r="AZ30" s="75"/>
      <c r="BA30" s="76"/>
      <c r="BB30" s="77"/>
      <c r="BC30" s="71"/>
      <c r="BD30" s="71"/>
      <c r="BE30" s="76"/>
      <c r="BF30" s="76"/>
      <c r="BG30" s="76"/>
      <c r="BH30" s="76"/>
      <c r="BI30" s="78"/>
      <c r="BJ30" s="79"/>
      <c r="BK30" s="78"/>
      <c r="BL30" s="78"/>
      <c r="BM30" s="80"/>
      <c r="BN30" s="80"/>
      <c r="BO30" s="80"/>
      <c r="BQ30" s="109"/>
      <c r="BR30" s="82"/>
      <c r="BS30" s="111"/>
      <c r="BU30" s="84"/>
      <c r="BV30" s="84"/>
      <c r="BW30" s="84"/>
      <c r="BX30" s="84"/>
      <c r="BY30" s="84"/>
      <c r="BZ30" s="84"/>
      <c r="CA30" s="85" t="s">
        <v>174</v>
      </c>
      <c r="CB30" s="86">
        <v>0</v>
      </c>
      <c r="CC30" s="87"/>
      <c r="CD30" s="88"/>
      <c r="CE30" s="89"/>
      <c r="CF30" s="88"/>
      <c r="CG30" s="88"/>
      <c r="CI30" s="113"/>
      <c r="CJ30" s="91"/>
      <c r="CK30" s="92"/>
      <c r="CL30" s="93"/>
      <c r="CM30" s="94"/>
      <c r="CN30" s="95"/>
      <c r="CO30" s="96"/>
      <c r="CP30" s="97"/>
      <c r="CQ30" s="98"/>
      <c r="CR30" s="98"/>
      <c r="CS30" s="99"/>
      <c r="CT30" s="112"/>
      <c r="CU30" s="90"/>
      <c r="CV30" s="90"/>
      <c r="CW30" s="90"/>
      <c r="CX30" s="114"/>
      <c r="CY30" s="100"/>
      <c r="CZ30" s="100"/>
      <c r="DA30" s="100"/>
      <c r="DB30" s="100"/>
      <c r="DC30" s="101"/>
      <c r="DD30" s="102"/>
      <c r="DE30" s="102"/>
      <c r="DF30" s="102"/>
      <c r="DG30" s="103"/>
      <c r="DH30" s="104"/>
      <c r="DI30" s="104"/>
      <c r="DJ30" s="104"/>
      <c r="DK30" s="105"/>
      <c r="DL30" s="106"/>
      <c r="DM30" s="84"/>
      <c r="DN30" s="107"/>
      <c r="DO30" s="84"/>
      <c r="DP30" s="84"/>
      <c r="DQ30" s="106"/>
      <c r="DR30" s="107"/>
      <c r="DS30" s="106"/>
      <c r="DT30" s="106"/>
      <c r="DU30" s="100"/>
      <c r="DV30" s="100"/>
      <c r="DW30" s="100"/>
      <c r="DX30" s="100"/>
      <c r="DY30" s="100"/>
      <c r="DZ30" s="100"/>
      <c r="EA30" s="100"/>
      <c r="EB30" s="100"/>
      <c r="EC30" s="100"/>
      <c r="ED30" s="100"/>
    </row>
    <row r="31" spans="1:134" ht="15.5">
      <c r="A31" s="68"/>
      <c r="B31" s="69"/>
      <c r="C31" s="70"/>
      <c r="D31" s="70"/>
      <c r="E31" s="70"/>
      <c r="F31" s="70"/>
      <c r="G31" s="70"/>
      <c r="H31" s="71"/>
      <c r="I31" s="70"/>
      <c r="J31" s="72"/>
      <c r="K31" s="73"/>
      <c r="L31" s="72"/>
      <c r="M31" s="70"/>
      <c r="N31" s="70"/>
      <c r="O31" s="71"/>
      <c r="P31" s="73"/>
      <c r="Q31" s="74"/>
      <c r="R31" s="71"/>
      <c r="S31" s="70"/>
      <c r="T31" s="70"/>
      <c r="U31" s="71"/>
      <c r="V31" s="108"/>
      <c r="W31" s="70"/>
      <c r="X31" s="72"/>
      <c r="Y31" s="72"/>
      <c r="Z31" s="72"/>
      <c r="AA31" s="71"/>
      <c r="AB31" s="71"/>
      <c r="AC31" s="71"/>
      <c r="AD31" s="70"/>
      <c r="AE31" s="70"/>
      <c r="AF31" s="71"/>
      <c r="AG31" s="71"/>
      <c r="AH31" s="70"/>
      <c r="AI31" s="70"/>
      <c r="AJ31" s="70"/>
      <c r="AK31" s="70"/>
      <c r="AL31" s="70"/>
      <c r="AM31" s="70"/>
      <c r="AN31" s="70"/>
      <c r="AO31" s="71"/>
      <c r="AP31" s="71"/>
      <c r="AQ31" s="71"/>
      <c r="AR31" s="70"/>
      <c r="AS31" s="70"/>
      <c r="AT31" s="70"/>
      <c r="AU31" s="70"/>
      <c r="AV31" s="70"/>
      <c r="AW31" s="70"/>
      <c r="AX31" s="70"/>
      <c r="AY31" s="71"/>
      <c r="AZ31" s="75"/>
      <c r="BA31" s="76"/>
      <c r="BB31" s="77"/>
      <c r="BC31" s="71"/>
      <c r="BD31" s="71"/>
      <c r="BE31" s="76"/>
      <c r="BF31" s="76"/>
      <c r="BG31" s="76"/>
      <c r="BH31" s="76"/>
      <c r="BI31" s="78"/>
      <c r="BJ31" s="79"/>
      <c r="BK31" s="78"/>
      <c r="BL31" s="78"/>
      <c r="BM31" s="80"/>
      <c r="BN31" s="80"/>
      <c r="BO31" s="80"/>
      <c r="BQ31" s="109"/>
      <c r="BR31" s="82"/>
      <c r="BS31" s="111"/>
      <c r="BU31" s="84"/>
      <c r="BV31" s="84"/>
      <c r="BW31" s="84"/>
      <c r="BX31" s="84"/>
      <c r="BY31" s="84"/>
      <c r="BZ31" s="84"/>
      <c r="CA31" s="85" t="s">
        <v>175</v>
      </c>
      <c r="CB31" s="86">
        <v>0.05</v>
      </c>
      <c r="CC31" s="87"/>
      <c r="CD31" s="88"/>
      <c r="CE31" s="89"/>
      <c r="CF31" s="88"/>
      <c r="CG31" s="88"/>
      <c r="CI31" s="113"/>
      <c r="CJ31" s="91"/>
      <c r="CK31" s="92"/>
      <c r="CL31" s="93"/>
      <c r="CM31" s="94"/>
      <c r="CN31" s="95"/>
      <c r="CO31" s="96"/>
      <c r="CP31" s="97"/>
      <c r="CQ31" s="98"/>
      <c r="CR31" s="98"/>
      <c r="CS31" s="99"/>
      <c r="CT31" s="112"/>
      <c r="CU31" s="90"/>
      <c r="CV31" s="90"/>
      <c r="CW31" s="90"/>
      <c r="CX31" s="114"/>
      <c r="CY31" s="100"/>
      <c r="CZ31" s="100"/>
      <c r="DA31" s="100"/>
      <c r="DB31" s="100"/>
      <c r="DC31" s="101"/>
      <c r="DD31" s="102"/>
      <c r="DE31" s="102"/>
      <c r="DF31" s="102"/>
      <c r="DG31" s="103"/>
      <c r="DH31" s="104"/>
      <c r="DI31" s="104"/>
      <c r="DJ31" s="104"/>
      <c r="DK31" s="105"/>
      <c r="DL31" s="106"/>
      <c r="DM31" s="84"/>
      <c r="DN31" s="107"/>
      <c r="DO31" s="84"/>
      <c r="DP31" s="84"/>
      <c r="DQ31" s="106"/>
      <c r="DR31" s="107"/>
      <c r="DS31" s="106"/>
      <c r="DT31" s="106"/>
      <c r="DU31" s="100"/>
      <c r="DV31" s="100"/>
      <c r="DW31" s="100"/>
      <c r="DX31" s="100"/>
      <c r="DY31" s="100"/>
      <c r="DZ31" s="100"/>
      <c r="EA31" s="100"/>
      <c r="EB31" s="100"/>
      <c r="EC31" s="100"/>
      <c r="ED31" s="100"/>
    </row>
    <row r="32" spans="1:134" ht="15.5">
      <c r="A32" s="68"/>
      <c r="B32" s="69"/>
      <c r="C32" s="70"/>
      <c r="D32" s="70"/>
      <c r="E32" s="70"/>
      <c r="F32" s="70"/>
      <c r="G32" s="70"/>
      <c r="H32" s="71"/>
      <c r="I32" s="70"/>
      <c r="J32" s="72"/>
      <c r="K32" s="73"/>
      <c r="L32" s="72"/>
      <c r="M32" s="70"/>
      <c r="N32" s="70"/>
      <c r="O32" s="71"/>
      <c r="P32" s="73"/>
      <c r="Q32" s="74"/>
      <c r="R32" s="71"/>
      <c r="S32" s="70"/>
      <c r="T32" s="70"/>
      <c r="U32" s="71"/>
      <c r="V32" s="108"/>
      <c r="W32" s="70"/>
      <c r="X32" s="72"/>
      <c r="Y32" s="72"/>
      <c r="Z32" s="72"/>
      <c r="AA32" s="71"/>
      <c r="AB32" s="71"/>
      <c r="AC32" s="71"/>
      <c r="AD32" s="70"/>
      <c r="AE32" s="70"/>
      <c r="AF32" s="71"/>
      <c r="AG32" s="71"/>
      <c r="AH32" s="70"/>
      <c r="AI32" s="70"/>
      <c r="AJ32" s="70"/>
      <c r="AK32" s="70"/>
      <c r="AL32" s="70"/>
      <c r="AM32" s="70"/>
      <c r="AN32" s="70"/>
      <c r="AO32" s="71"/>
      <c r="AP32" s="71"/>
      <c r="AQ32" s="71"/>
      <c r="AR32" s="70"/>
      <c r="AS32" s="70"/>
      <c r="AT32" s="70"/>
      <c r="AU32" s="70"/>
      <c r="AV32" s="70"/>
      <c r="AW32" s="70"/>
      <c r="AX32" s="70"/>
      <c r="AY32" s="71"/>
      <c r="AZ32" s="75"/>
      <c r="BA32" s="76"/>
      <c r="BB32" s="77"/>
      <c r="BC32" s="71"/>
      <c r="BD32" s="71"/>
      <c r="BE32" s="76"/>
      <c r="BF32" s="76"/>
      <c r="BG32" s="76"/>
      <c r="BH32" s="76"/>
      <c r="BI32" s="78"/>
      <c r="BJ32" s="79"/>
      <c r="BK32" s="78"/>
      <c r="BL32" s="78"/>
      <c r="BM32" s="80"/>
      <c r="BN32" s="80"/>
      <c r="BO32" s="80"/>
      <c r="BQ32" s="109"/>
      <c r="BR32" s="82"/>
      <c r="BS32" s="111"/>
      <c r="BU32" s="84"/>
      <c r="BV32" s="84"/>
      <c r="BW32" s="84"/>
      <c r="BX32" s="84"/>
      <c r="BY32" s="84"/>
      <c r="BZ32" s="84"/>
      <c r="CA32" s="85"/>
      <c r="CB32" s="86"/>
      <c r="CC32" s="87"/>
      <c r="CD32" s="88"/>
      <c r="CE32" s="89"/>
      <c r="CF32" s="88"/>
      <c r="CG32" s="88"/>
      <c r="CI32" s="113"/>
      <c r="CJ32" s="91"/>
      <c r="CK32" s="92"/>
      <c r="CL32" s="93"/>
      <c r="CM32" s="94"/>
      <c r="CN32" s="95"/>
      <c r="CO32" s="96"/>
      <c r="CP32" s="97"/>
      <c r="CQ32" s="98"/>
      <c r="CR32" s="98"/>
      <c r="CS32" s="99"/>
      <c r="CT32" s="112"/>
      <c r="CU32" s="90"/>
      <c r="CV32" s="90"/>
      <c r="CW32" s="90"/>
      <c r="CX32" s="114"/>
      <c r="CY32" s="100"/>
      <c r="CZ32" s="100"/>
      <c r="DA32" s="100"/>
      <c r="DB32" s="100"/>
      <c r="DC32" s="101"/>
      <c r="DD32" s="102"/>
      <c r="DE32" s="102"/>
      <c r="DF32" s="102"/>
      <c r="DG32" s="103"/>
      <c r="DH32" s="104"/>
      <c r="DI32" s="104"/>
      <c r="DJ32" s="104"/>
      <c r="DK32" s="105"/>
      <c r="DL32" s="106"/>
      <c r="DM32" s="84"/>
      <c r="DN32" s="107"/>
      <c r="DO32" s="84"/>
      <c r="DP32" s="84"/>
      <c r="DQ32" s="106"/>
      <c r="DR32" s="107"/>
      <c r="DS32" s="106"/>
      <c r="DT32" s="106"/>
      <c r="DU32" s="100"/>
      <c r="DV32" s="100"/>
      <c r="DW32" s="100"/>
      <c r="DX32" s="100"/>
      <c r="DY32" s="100"/>
      <c r="DZ32" s="100"/>
      <c r="EA32" s="100"/>
      <c r="EB32" s="100"/>
      <c r="EC32" s="100"/>
      <c r="ED32" s="100"/>
    </row>
    <row r="33" spans="1:134" ht="15.5">
      <c r="A33" s="68"/>
      <c r="B33" s="69"/>
      <c r="C33" s="70"/>
      <c r="D33" s="70"/>
      <c r="E33" s="70"/>
      <c r="F33" s="70"/>
      <c r="G33" s="70"/>
      <c r="H33" s="71"/>
      <c r="I33" s="70"/>
      <c r="J33" s="72"/>
      <c r="K33" s="73"/>
      <c r="L33" s="72"/>
      <c r="M33" s="70"/>
      <c r="N33" s="70"/>
      <c r="O33" s="71"/>
      <c r="P33" s="73"/>
      <c r="Q33" s="74"/>
      <c r="R33" s="71"/>
      <c r="S33" s="70"/>
      <c r="T33" s="70"/>
      <c r="U33" s="71"/>
      <c r="V33" s="108"/>
      <c r="W33" s="70"/>
      <c r="X33" s="72"/>
      <c r="Y33" s="72"/>
      <c r="Z33" s="72"/>
      <c r="AA33" s="71"/>
      <c r="AB33" s="71"/>
      <c r="AC33" s="71"/>
      <c r="AD33" s="70"/>
      <c r="AE33" s="70"/>
      <c r="AF33" s="71"/>
      <c r="AG33" s="71"/>
      <c r="AH33" s="70"/>
      <c r="AI33" s="70"/>
      <c r="AJ33" s="70"/>
      <c r="AK33" s="70"/>
      <c r="AL33" s="70"/>
      <c r="AM33" s="70"/>
      <c r="AN33" s="70"/>
      <c r="AO33" s="71"/>
      <c r="AP33" s="71"/>
      <c r="AQ33" s="71"/>
      <c r="AR33" s="70"/>
      <c r="AS33" s="70"/>
      <c r="AT33" s="70"/>
      <c r="AU33" s="70"/>
      <c r="AV33" s="70"/>
      <c r="AW33" s="70"/>
      <c r="AX33" s="70"/>
      <c r="AY33" s="71"/>
      <c r="AZ33" s="75"/>
      <c r="BA33" s="76"/>
      <c r="BB33" s="77"/>
      <c r="BC33" s="71"/>
      <c r="BD33" s="71"/>
      <c r="BE33" s="76"/>
      <c r="BF33" s="76"/>
      <c r="BG33" s="76"/>
      <c r="BH33" s="76"/>
      <c r="BI33" s="78"/>
      <c r="BJ33" s="79"/>
      <c r="BK33" s="78"/>
      <c r="BL33" s="78"/>
      <c r="BM33" s="80"/>
      <c r="BN33" s="80"/>
      <c r="BO33" s="80"/>
      <c r="BQ33" s="109"/>
      <c r="BR33" s="82"/>
      <c r="BS33" s="111"/>
      <c r="BU33" s="84"/>
      <c r="BV33" s="84"/>
      <c r="BW33" s="84"/>
      <c r="BX33" s="84"/>
      <c r="BY33" s="84"/>
      <c r="BZ33" s="84"/>
      <c r="CA33" s="85" t="s">
        <v>176</v>
      </c>
      <c r="CB33" s="86"/>
      <c r="CC33" s="87"/>
      <c r="CD33" s="88"/>
      <c r="CE33" s="89"/>
      <c r="CF33" s="88"/>
      <c r="CG33" s="88"/>
      <c r="CI33" s="113"/>
      <c r="CJ33" s="91"/>
      <c r="CK33" s="92"/>
      <c r="CL33" s="93"/>
      <c r="CM33" s="94"/>
      <c r="CN33" s="95"/>
      <c r="CO33" s="96"/>
      <c r="CP33" s="97"/>
      <c r="CQ33" s="98"/>
      <c r="CR33" s="98"/>
      <c r="CS33" s="99"/>
      <c r="CT33" s="112"/>
      <c r="CU33" s="90"/>
      <c r="CV33" s="90"/>
      <c r="CW33" s="90"/>
      <c r="CX33" s="114"/>
      <c r="CY33" s="100"/>
      <c r="CZ33" s="100"/>
      <c r="DA33" s="100"/>
      <c r="DB33" s="100"/>
      <c r="DC33" s="101"/>
      <c r="DD33" s="102"/>
      <c r="DE33" s="102"/>
      <c r="DF33" s="102"/>
      <c r="DG33" s="103"/>
      <c r="DH33" s="104"/>
      <c r="DI33" s="104"/>
      <c r="DJ33" s="104"/>
      <c r="DK33" s="105"/>
      <c r="DL33" s="106"/>
      <c r="DM33" s="84"/>
      <c r="DN33" s="107"/>
      <c r="DO33" s="84"/>
      <c r="DP33" s="84"/>
      <c r="DQ33" s="106"/>
      <c r="DR33" s="107"/>
      <c r="DS33" s="106"/>
      <c r="DT33" s="106"/>
      <c r="DU33" s="100"/>
      <c r="DV33" s="100"/>
      <c r="DW33" s="100"/>
      <c r="DX33" s="100"/>
      <c r="DY33" s="100"/>
      <c r="DZ33" s="100"/>
      <c r="EA33" s="100"/>
      <c r="EB33" s="100"/>
      <c r="EC33" s="100"/>
      <c r="ED33" s="100"/>
    </row>
    <row r="34" spans="1:134" ht="15.5">
      <c r="A34" s="68"/>
      <c r="B34" s="69"/>
      <c r="C34" s="70"/>
      <c r="D34" s="70"/>
      <c r="E34" s="70"/>
      <c r="F34" s="70"/>
      <c r="G34" s="70"/>
      <c r="H34" s="71"/>
      <c r="I34" s="70"/>
      <c r="J34" s="72"/>
      <c r="K34" s="73"/>
      <c r="L34" s="72"/>
      <c r="M34" s="70"/>
      <c r="N34" s="70"/>
      <c r="O34" s="71"/>
      <c r="P34" s="73"/>
      <c r="Q34" s="74"/>
      <c r="R34" s="71"/>
      <c r="S34" s="70"/>
      <c r="T34" s="70"/>
      <c r="U34" s="71"/>
      <c r="V34" s="108"/>
      <c r="W34" s="70"/>
      <c r="X34" s="72"/>
      <c r="Y34" s="72"/>
      <c r="Z34" s="72"/>
      <c r="AA34" s="71"/>
      <c r="AB34" s="71"/>
      <c r="AC34" s="71"/>
      <c r="AD34" s="70"/>
      <c r="AE34" s="70"/>
      <c r="AF34" s="71"/>
      <c r="AG34" s="71"/>
      <c r="AH34" s="70"/>
      <c r="AI34" s="70"/>
      <c r="AJ34" s="70"/>
      <c r="AK34" s="70"/>
      <c r="AL34" s="70"/>
      <c r="AM34" s="70"/>
      <c r="AN34" s="70"/>
      <c r="AO34" s="71"/>
      <c r="AP34" s="71"/>
      <c r="AQ34" s="71"/>
      <c r="AR34" s="70"/>
      <c r="AS34" s="70"/>
      <c r="AT34" s="70"/>
      <c r="AU34" s="70"/>
      <c r="AV34" s="70"/>
      <c r="AW34" s="70"/>
      <c r="AX34" s="70"/>
      <c r="AY34" s="71"/>
      <c r="AZ34" s="75"/>
      <c r="BA34" s="76"/>
      <c r="BB34" s="77"/>
      <c r="BC34" s="71"/>
      <c r="BD34" s="71"/>
      <c r="BE34" s="76"/>
      <c r="BF34" s="76"/>
      <c r="BG34" s="76"/>
      <c r="BH34" s="76"/>
      <c r="BI34" s="78"/>
      <c r="BJ34" s="79"/>
      <c r="BK34" s="78"/>
      <c r="BL34" s="78"/>
      <c r="BM34" s="80"/>
      <c r="BN34" s="80"/>
      <c r="BO34" s="80"/>
      <c r="BQ34" s="109"/>
      <c r="BR34" s="82"/>
      <c r="BS34" s="111"/>
      <c r="BU34" s="84"/>
      <c r="BV34" s="84"/>
      <c r="BW34" s="84"/>
      <c r="BX34" s="84"/>
      <c r="BY34" s="84"/>
      <c r="BZ34" s="84"/>
      <c r="CA34" s="85" t="s">
        <v>177</v>
      </c>
      <c r="CB34" s="86" t="s">
        <v>178</v>
      </c>
      <c r="CC34" s="87" t="s">
        <v>179</v>
      </c>
      <c r="CD34" s="88"/>
      <c r="CE34" s="89"/>
      <c r="CF34" s="88"/>
      <c r="CG34" s="88"/>
      <c r="CI34" s="113"/>
      <c r="CJ34" s="91"/>
      <c r="CK34" s="92"/>
      <c r="CL34" s="93"/>
      <c r="CM34" s="94"/>
      <c r="CN34" s="95"/>
      <c r="CO34" s="96"/>
      <c r="CP34" s="97"/>
      <c r="CQ34" s="98"/>
      <c r="CR34" s="98"/>
      <c r="CS34" s="99"/>
      <c r="CT34" s="112"/>
      <c r="CU34" s="90"/>
      <c r="CV34" s="90"/>
      <c r="CW34" s="90"/>
      <c r="CX34" s="114"/>
      <c r="CY34" s="100"/>
      <c r="CZ34" s="100"/>
      <c r="DA34" s="100"/>
      <c r="DB34" s="100"/>
      <c r="DC34" s="101"/>
      <c r="DD34" s="102"/>
      <c r="DE34" s="102"/>
      <c r="DF34" s="102"/>
      <c r="DG34" s="103"/>
      <c r="DH34" s="104"/>
      <c r="DI34" s="104"/>
      <c r="DJ34" s="104"/>
      <c r="DK34" s="105"/>
      <c r="DL34" s="106"/>
      <c r="DM34" s="84"/>
      <c r="DN34" s="107"/>
      <c r="DO34" s="84"/>
      <c r="DP34" s="84"/>
      <c r="DQ34" s="106"/>
      <c r="DR34" s="107"/>
      <c r="DS34" s="106"/>
      <c r="DT34" s="106"/>
      <c r="DU34" s="100"/>
      <c r="DV34" s="100"/>
      <c r="DW34" s="100"/>
      <c r="DX34" s="100"/>
      <c r="DY34" s="100"/>
      <c r="DZ34" s="100"/>
      <c r="EA34" s="100"/>
      <c r="EB34" s="100"/>
      <c r="EC34" s="100"/>
      <c r="ED34" s="100"/>
    </row>
    <row r="35" spans="1:134" ht="15.5">
      <c r="A35" s="68"/>
      <c r="B35" s="69"/>
      <c r="C35" s="70"/>
      <c r="D35" s="70"/>
      <c r="E35" s="70"/>
      <c r="F35" s="70"/>
      <c r="G35" s="70"/>
      <c r="H35" s="71"/>
      <c r="I35" s="70"/>
      <c r="J35" s="72"/>
      <c r="K35" s="73"/>
      <c r="L35" s="72"/>
      <c r="M35" s="70"/>
      <c r="N35" s="70"/>
      <c r="O35" s="71"/>
      <c r="P35" s="73"/>
      <c r="Q35" s="74"/>
      <c r="R35" s="71"/>
      <c r="S35" s="70"/>
      <c r="T35" s="70"/>
      <c r="U35" s="71"/>
      <c r="V35" s="108"/>
      <c r="W35" s="70"/>
      <c r="X35" s="72"/>
      <c r="Y35" s="72"/>
      <c r="Z35" s="72"/>
      <c r="AA35" s="71"/>
      <c r="AB35" s="71"/>
      <c r="AC35" s="71"/>
      <c r="AD35" s="70"/>
      <c r="AE35" s="70"/>
      <c r="AF35" s="71"/>
      <c r="AG35" s="71"/>
      <c r="AH35" s="70"/>
      <c r="AI35" s="70"/>
      <c r="AJ35" s="70"/>
      <c r="AK35" s="70"/>
      <c r="AL35" s="70"/>
      <c r="AM35" s="70"/>
      <c r="AN35" s="70"/>
      <c r="AO35" s="71"/>
      <c r="AP35" s="71"/>
      <c r="AQ35" s="71"/>
      <c r="AR35" s="70"/>
      <c r="AS35" s="70"/>
      <c r="AT35" s="70"/>
      <c r="AU35" s="70"/>
      <c r="AV35" s="70"/>
      <c r="AW35" s="70"/>
      <c r="AX35" s="70"/>
      <c r="AY35" s="71"/>
      <c r="AZ35" s="75"/>
      <c r="BA35" s="76"/>
      <c r="BB35" s="77"/>
      <c r="BC35" s="71"/>
      <c r="BD35" s="71"/>
      <c r="BE35" s="76"/>
      <c r="BF35" s="76"/>
      <c r="BG35" s="76"/>
      <c r="BH35" s="76"/>
      <c r="BI35" s="78"/>
      <c r="BJ35" s="79"/>
      <c r="BK35" s="78"/>
      <c r="BL35" s="78"/>
      <c r="BM35" s="80"/>
      <c r="BN35" s="80"/>
      <c r="BO35" s="80"/>
      <c r="BQ35" s="109"/>
      <c r="BR35" s="82"/>
      <c r="BS35" s="111"/>
      <c r="BU35" s="84"/>
      <c r="BV35" s="84"/>
      <c r="BW35" s="84"/>
      <c r="BX35" s="84"/>
      <c r="BY35" s="84"/>
      <c r="BZ35" s="84"/>
      <c r="CA35" s="85" t="s">
        <v>95</v>
      </c>
      <c r="CB35" s="86">
        <v>300</v>
      </c>
      <c r="CC35" s="87"/>
      <c r="CD35" s="88"/>
      <c r="CE35" s="89"/>
      <c r="CF35" s="88"/>
      <c r="CG35" s="88"/>
      <c r="CI35" s="113"/>
      <c r="CJ35" s="91"/>
      <c r="CK35" s="92"/>
      <c r="CL35" s="93"/>
      <c r="CM35" s="94"/>
      <c r="CN35" s="95"/>
      <c r="CO35" s="96"/>
      <c r="CP35" s="97"/>
      <c r="CQ35" s="98"/>
      <c r="CR35" s="98"/>
      <c r="CS35" s="99"/>
      <c r="CT35" s="112"/>
      <c r="CU35" s="90"/>
      <c r="CV35" s="90"/>
      <c r="CW35" s="90"/>
      <c r="CX35" s="114"/>
      <c r="CY35" s="100"/>
      <c r="CZ35" s="100"/>
      <c r="DA35" s="100"/>
      <c r="DB35" s="100"/>
      <c r="DC35" s="101"/>
      <c r="DD35" s="102"/>
      <c r="DE35" s="102"/>
      <c r="DF35" s="102"/>
      <c r="DG35" s="103"/>
      <c r="DH35" s="104"/>
      <c r="DI35" s="104"/>
      <c r="DJ35" s="104"/>
      <c r="DK35" s="105"/>
      <c r="DL35" s="106"/>
      <c r="DM35" s="84"/>
      <c r="DN35" s="107"/>
      <c r="DO35" s="84"/>
      <c r="DP35" s="84"/>
      <c r="DQ35" s="106"/>
      <c r="DR35" s="107"/>
      <c r="DS35" s="106"/>
      <c r="DT35" s="106"/>
      <c r="DU35" s="100"/>
      <c r="DV35" s="100"/>
      <c r="DW35" s="100"/>
      <c r="DX35" s="100"/>
      <c r="DY35" s="100"/>
      <c r="DZ35" s="100"/>
      <c r="EA35" s="100"/>
      <c r="EB35" s="100"/>
      <c r="EC35" s="100"/>
      <c r="ED35" s="100"/>
    </row>
    <row r="36" spans="1:134" ht="15.5">
      <c r="A36" s="68"/>
      <c r="B36" s="69"/>
      <c r="C36" s="70"/>
      <c r="D36" s="70"/>
      <c r="E36" s="70"/>
      <c r="F36" s="70"/>
      <c r="G36" s="70"/>
      <c r="H36" s="71"/>
      <c r="I36" s="70"/>
      <c r="J36" s="72"/>
      <c r="K36" s="73"/>
      <c r="L36" s="72"/>
      <c r="M36" s="70"/>
      <c r="N36" s="70"/>
      <c r="O36" s="71"/>
      <c r="P36" s="73"/>
      <c r="Q36" s="74"/>
      <c r="R36" s="71"/>
      <c r="S36" s="70"/>
      <c r="T36" s="70"/>
      <c r="U36" s="71"/>
      <c r="V36" s="108"/>
      <c r="W36" s="70"/>
      <c r="X36" s="72"/>
      <c r="Y36" s="72"/>
      <c r="Z36" s="72"/>
      <c r="AA36" s="71"/>
      <c r="AB36" s="71"/>
      <c r="AC36" s="71"/>
      <c r="AD36" s="70"/>
      <c r="AE36" s="70"/>
      <c r="AF36" s="71"/>
      <c r="AG36" s="71"/>
      <c r="AH36" s="70"/>
      <c r="AI36" s="70"/>
      <c r="AJ36" s="70"/>
      <c r="AK36" s="70"/>
      <c r="AL36" s="70"/>
      <c r="AM36" s="70"/>
      <c r="AN36" s="70"/>
      <c r="AO36" s="71"/>
      <c r="AP36" s="71"/>
      <c r="AQ36" s="71"/>
      <c r="AR36" s="70"/>
      <c r="AS36" s="70"/>
      <c r="AT36" s="70"/>
      <c r="AU36" s="70"/>
      <c r="AV36" s="70"/>
      <c r="AW36" s="70"/>
      <c r="AX36" s="70"/>
      <c r="AY36" s="71"/>
      <c r="AZ36" s="75"/>
      <c r="BA36" s="76"/>
      <c r="BB36" s="77"/>
      <c r="BC36" s="71"/>
      <c r="BD36" s="71"/>
      <c r="BE36" s="76"/>
      <c r="BF36" s="76"/>
      <c r="BG36" s="76"/>
      <c r="BH36" s="76"/>
      <c r="BI36" s="78"/>
      <c r="BJ36" s="79"/>
      <c r="BK36" s="78"/>
      <c r="BL36" s="78"/>
      <c r="BM36" s="80"/>
      <c r="BN36" s="80"/>
      <c r="BO36" s="80"/>
      <c r="BQ36" s="109"/>
      <c r="BR36" s="82"/>
      <c r="BS36" s="111"/>
      <c r="BU36" s="84"/>
      <c r="BV36" s="84"/>
      <c r="BW36" s="84"/>
      <c r="BX36" s="84"/>
      <c r="BY36" s="84"/>
      <c r="BZ36" s="84"/>
      <c r="CA36" s="85"/>
      <c r="CB36" s="86"/>
      <c r="CC36" s="87"/>
      <c r="CD36" s="88"/>
      <c r="CE36" s="89"/>
      <c r="CF36" s="88"/>
      <c r="CG36" s="88"/>
      <c r="CI36" s="113"/>
      <c r="CJ36" s="91"/>
      <c r="CK36" s="92"/>
      <c r="CL36" s="93"/>
      <c r="CM36" s="94"/>
      <c r="CN36" s="95"/>
      <c r="CO36" s="96"/>
      <c r="CP36" s="97"/>
      <c r="CQ36" s="98"/>
      <c r="CR36" s="98"/>
      <c r="CS36" s="99"/>
      <c r="CT36" s="112"/>
      <c r="CU36" s="90"/>
      <c r="CV36" s="90"/>
      <c r="CW36" s="90"/>
      <c r="CX36" s="114"/>
      <c r="CY36" s="100"/>
      <c r="CZ36" s="100"/>
      <c r="DA36" s="100"/>
      <c r="DB36" s="100"/>
      <c r="DC36" s="101"/>
      <c r="DD36" s="102"/>
      <c r="DE36" s="102"/>
      <c r="DF36" s="102"/>
      <c r="DG36" s="103"/>
      <c r="DH36" s="104"/>
      <c r="DI36" s="104"/>
      <c r="DJ36" s="104"/>
      <c r="DK36" s="105"/>
      <c r="DL36" s="106"/>
      <c r="DM36" s="84"/>
      <c r="DN36" s="107"/>
      <c r="DO36" s="84"/>
      <c r="DP36" s="84"/>
      <c r="DQ36" s="106"/>
      <c r="DR36" s="107"/>
      <c r="DS36" s="106"/>
      <c r="DT36" s="106"/>
      <c r="DU36" s="100"/>
      <c r="DV36" s="100"/>
      <c r="DW36" s="100"/>
      <c r="DX36" s="100"/>
      <c r="DY36" s="100"/>
      <c r="DZ36" s="100"/>
      <c r="EA36" s="100"/>
      <c r="EB36" s="100"/>
      <c r="EC36" s="100"/>
      <c r="ED36" s="100"/>
    </row>
    <row r="37" spans="1:134" ht="15.5">
      <c r="A37" s="68"/>
      <c r="B37" s="69"/>
      <c r="C37" s="70"/>
      <c r="D37" s="70"/>
      <c r="E37" s="70"/>
      <c r="F37" s="70"/>
      <c r="G37" s="70"/>
      <c r="H37" s="71"/>
      <c r="I37" s="70"/>
      <c r="J37" s="72"/>
      <c r="K37" s="73"/>
      <c r="L37" s="72"/>
      <c r="M37" s="70"/>
      <c r="N37" s="70"/>
      <c r="O37" s="71"/>
      <c r="P37" s="73"/>
      <c r="Q37" s="74"/>
      <c r="R37" s="71"/>
      <c r="S37" s="70"/>
      <c r="T37" s="70"/>
      <c r="U37" s="71"/>
      <c r="V37" s="108"/>
      <c r="W37" s="70"/>
      <c r="X37" s="72"/>
      <c r="Y37" s="72"/>
      <c r="Z37" s="72"/>
      <c r="AA37" s="71"/>
      <c r="AB37" s="71"/>
      <c r="AC37" s="71"/>
      <c r="AD37" s="70"/>
      <c r="AE37" s="70"/>
      <c r="AF37" s="71"/>
      <c r="AG37" s="71"/>
      <c r="AH37" s="70"/>
      <c r="AI37" s="70"/>
      <c r="AJ37" s="70"/>
      <c r="AK37" s="70"/>
      <c r="AL37" s="70"/>
      <c r="AM37" s="70"/>
      <c r="AN37" s="70"/>
      <c r="AO37" s="71"/>
      <c r="AP37" s="71"/>
      <c r="AQ37" s="71"/>
      <c r="AR37" s="70"/>
      <c r="AS37" s="70"/>
      <c r="AT37" s="70"/>
      <c r="AU37" s="70"/>
      <c r="AV37" s="70"/>
      <c r="AW37" s="70"/>
      <c r="AX37" s="70"/>
      <c r="AY37" s="71"/>
      <c r="AZ37" s="75"/>
      <c r="BA37" s="76"/>
      <c r="BB37" s="77"/>
      <c r="BC37" s="71"/>
      <c r="BD37" s="71"/>
      <c r="BE37" s="76"/>
      <c r="BF37" s="76"/>
      <c r="BG37" s="76"/>
      <c r="BH37" s="76"/>
      <c r="BI37" s="78"/>
      <c r="BJ37" s="79"/>
      <c r="BK37" s="78"/>
      <c r="BL37" s="78"/>
      <c r="BM37" s="80"/>
      <c r="BN37" s="80"/>
      <c r="BO37" s="80"/>
      <c r="BQ37" s="109"/>
      <c r="BR37" s="82"/>
      <c r="BS37" s="111"/>
      <c r="BU37" s="84"/>
      <c r="BV37" s="84"/>
      <c r="BW37" s="84"/>
      <c r="BX37" s="84"/>
      <c r="BY37" s="84"/>
      <c r="BZ37" s="84"/>
      <c r="CA37" s="85" t="s">
        <v>180</v>
      </c>
      <c r="CB37" s="86"/>
      <c r="CC37" s="87"/>
      <c r="CD37" s="88"/>
      <c r="CE37" s="89"/>
      <c r="CF37" s="88"/>
      <c r="CG37" s="88"/>
      <c r="CI37" s="113"/>
      <c r="CJ37" s="91"/>
      <c r="CK37" s="92"/>
      <c r="CL37" s="93"/>
      <c r="CM37" s="94"/>
      <c r="CN37" s="95"/>
      <c r="CO37" s="96"/>
      <c r="CP37" s="97"/>
      <c r="CQ37" s="98"/>
      <c r="CR37" s="98"/>
      <c r="CS37" s="99"/>
      <c r="CT37" s="112"/>
      <c r="CU37" s="90"/>
      <c r="CV37" s="90"/>
      <c r="CW37" s="90"/>
      <c r="CX37" s="114"/>
      <c r="CY37" s="100"/>
      <c r="CZ37" s="100"/>
      <c r="DA37" s="100"/>
      <c r="DB37" s="100"/>
      <c r="DC37" s="101"/>
      <c r="DD37" s="102"/>
      <c r="DE37" s="102"/>
      <c r="DF37" s="102"/>
      <c r="DG37" s="103"/>
      <c r="DH37" s="104"/>
      <c r="DI37" s="104"/>
      <c r="DJ37" s="104"/>
      <c r="DK37" s="105"/>
      <c r="DL37" s="106"/>
      <c r="DM37" s="84"/>
      <c r="DN37" s="107"/>
      <c r="DO37" s="84"/>
      <c r="DP37" s="84"/>
      <c r="DQ37" s="106"/>
      <c r="DR37" s="107"/>
      <c r="DS37" s="106"/>
      <c r="DT37" s="106"/>
      <c r="DU37" s="100"/>
      <c r="DV37" s="100"/>
      <c r="DW37" s="100"/>
      <c r="DX37" s="100"/>
      <c r="DY37" s="100"/>
      <c r="DZ37" s="100"/>
      <c r="EA37" s="100"/>
      <c r="EB37" s="100"/>
      <c r="EC37" s="100"/>
      <c r="ED37" s="100"/>
    </row>
    <row r="38" spans="1:134" ht="15.5">
      <c r="A38" s="68"/>
      <c r="B38" s="69"/>
      <c r="C38" s="70"/>
      <c r="D38" s="70"/>
      <c r="E38" s="70"/>
      <c r="F38" s="70"/>
      <c r="G38" s="70"/>
      <c r="H38" s="71"/>
      <c r="I38" s="70"/>
      <c r="J38" s="72"/>
      <c r="K38" s="73"/>
      <c r="L38" s="72"/>
      <c r="M38" s="70"/>
      <c r="N38" s="70"/>
      <c r="O38" s="71"/>
      <c r="P38" s="73"/>
      <c r="Q38" s="74"/>
      <c r="R38" s="71"/>
      <c r="S38" s="70"/>
      <c r="T38" s="70"/>
      <c r="U38" s="71"/>
      <c r="V38" s="108"/>
      <c r="W38" s="70"/>
      <c r="X38" s="72"/>
      <c r="Y38" s="72"/>
      <c r="Z38" s="72"/>
      <c r="AA38" s="71"/>
      <c r="AB38" s="71"/>
      <c r="AC38" s="71"/>
      <c r="AD38" s="70"/>
      <c r="AE38" s="70"/>
      <c r="AF38" s="71"/>
      <c r="AG38" s="71"/>
      <c r="AH38" s="70"/>
      <c r="AI38" s="70"/>
      <c r="AJ38" s="70"/>
      <c r="AK38" s="70"/>
      <c r="AL38" s="70"/>
      <c r="AM38" s="70"/>
      <c r="AN38" s="70"/>
      <c r="AO38" s="71"/>
      <c r="AP38" s="71"/>
      <c r="AQ38" s="71"/>
      <c r="AR38" s="70"/>
      <c r="AS38" s="70"/>
      <c r="AT38" s="70"/>
      <c r="AU38" s="70"/>
      <c r="AV38" s="70"/>
      <c r="AW38" s="70"/>
      <c r="AX38" s="70"/>
      <c r="AY38" s="71"/>
      <c r="AZ38" s="75"/>
      <c r="BA38" s="76"/>
      <c r="BB38" s="77"/>
      <c r="BC38" s="71"/>
      <c r="BD38" s="71"/>
      <c r="BE38" s="76"/>
      <c r="BF38" s="76"/>
      <c r="BG38" s="76"/>
      <c r="BH38" s="76"/>
      <c r="BI38" s="78"/>
      <c r="BJ38" s="79"/>
      <c r="BK38" s="78"/>
      <c r="BL38" s="78"/>
      <c r="BM38" s="80"/>
      <c r="BN38" s="80"/>
      <c r="BO38" s="80"/>
      <c r="BQ38" s="109"/>
      <c r="BR38" s="82"/>
      <c r="BS38" s="111"/>
      <c r="BU38" s="84"/>
      <c r="BV38" s="84"/>
      <c r="BW38" s="84"/>
      <c r="BX38" s="84"/>
      <c r="BY38" s="84"/>
      <c r="BZ38" s="84"/>
      <c r="CA38" s="85"/>
      <c r="CB38" s="86"/>
      <c r="CC38" s="87"/>
      <c r="CD38" s="88"/>
      <c r="CE38" s="89"/>
      <c r="CF38" s="88"/>
      <c r="CG38" s="88"/>
      <c r="CI38" s="113"/>
      <c r="CJ38" s="91"/>
      <c r="CK38" s="92"/>
      <c r="CL38" s="93"/>
      <c r="CM38" s="94"/>
      <c r="CN38" s="95"/>
      <c r="CO38" s="96"/>
      <c r="CP38" s="97"/>
      <c r="CQ38" s="98"/>
      <c r="CR38" s="98"/>
      <c r="CS38" s="99"/>
      <c r="CT38" s="112"/>
      <c r="CU38" s="90"/>
      <c r="CV38" s="90"/>
      <c r="CW38" s="90"/>
      <c r="CX38" s="114"/>
      <c r="CY38" s="100"/>
      <c r="CZ38" s="100"/>
      <c r="DA38" s="100"/>
      <c r="DB38" s="100"/>
      <c r="DC38" s="101"/>
      <c r="DD38" s="102"/>
      <c r="DE38" s="102"/>
      <c r="DF38" s="102"/>
      <c r="DG38" s="103"/>
      <c r="DH38" s="104"/>
      <c r="DI38" s="104"/>
      <c r="DJ38" s="104"/>
      <c r="DK38" s="105"/>
      <c r="DL38" s="106"/>
      <c r="DM38" s="84"/>
      <c r="DN38" s="107"/>
      <c r="DO38" s="84"/>
      <c r="DP38" s="84"/>
      <c r="DQ38" s="106"/>
      <c r="DR38" s="107"/>
      <c r="DS38" s="106"/>
      <c r="DT38" s="106"/>
      <c r="DU38" s="100"/>
      <c r="DV38" s="100"/>
      <c r="DW38" s="100"/>
      <c r="DX38" s="100"/>
      <c r="DY38" s="100"/>
      <c r="DZ38" s="100"/>
      <c r="EA38" s="100"/>
      <c r="EB38" s="100"/>
      <c r="EC38" s="100"/>
      <c r="ED38" s="100"/>
    </row>
    <row r="39" spans="1:134" ht="15.5">
      <c r="A39" s="68"/>
      <c r="B39" s="69"/>
      <c r="C39" s="70"/>
      <c r="D39" s="70"/>
      <c r="E39" s="70"/>
      <c r="F39" s="70"/>
      <c r="G39" s="70"/>
      <c r="H39" s="71"/>
      <c r="I39" s="70"/>
      <c r="J39" s="72"/>
      <c r="K39" s="73"/>
      <c r="L39" s="72"/>
      <c r="M39" s="70"/>
      <c r="N39" s="70"/>
      <c r="O39" s="71"/>
      <c r="P39" s="73"/>
      <c r="Q39" s="74"/>
      <c r="R39" s="71"/>
      <c r="S39" s="70"/>
      <c r="T39" s="70"/>
      <c r="U39" s="71"/>
      <c r="V39" s="108"/>
      <c r="W39" s="70"/>
      <c r="X39" s="72"/>
      <c r="Y39" s="72"/>
      <c r="Z39" s="72"/>
      <c r="AA39" s="71"/>
      <c r="AB39" s="71"/>
      <c r="AC39" s="71"/>
      <c r="AD39" s="70"/>
      <c r="AE39" s="70"/>
      <c r="AF39" s="71"/>
      <c r="AG39" s="71"/>
      <c r="AH39" s="70"/>
      <c r="AI39" s="70"/>
      <c r="AJ39" s="70"/>
      <c r="AK39" s="70"/>
      <c r="AL39" s="70"/>
      <c r="AM39" s="70"/>
      <c r="AN39" s="70"/>
      <c r="AO39" s="71"/>
      <c r="AP39" s="71"/>
      <c r="AQ39" s="71"/>
      <c r="AR39" s="70"/>
      <c r="AS39" s="70"/>
      <c r="AT39" s="70"/>
      <c r="AU39" s="70"/>
      <c r="AV39" s="70"/>
      <c r="AW39" s="70"/>
      <c r="AX39" s="70"/>
      <c r="AY39" s="71"/>
      <c r="AZ39" s="75"/>
      <c r="BA39" s="76"/>
      <c r="BB39" s="77"/>
      <c r="BC39" s="71"/>
      <c r="BD39" s="71"/>
      <c r="BE39" s="76"/>
      <c r="BF39" s="76"/>
      <c r="BG39" s="76"/>
      <c r="BH39" s="76"/>
      <c r="BI39" s="78"/>
      <c r="BJ39" s="79"/>
      <c r="BK39" s="78"/>
      <c r="BL39" s="78"/>
      <c r="BM39" s="80"/>
      <c r="BN39" s="80"/>
      <c r="BO39" s="80"/>
      <c r="BQ39" s="109"/>
      <c r="BR39" s="82"/>
      <c r="BS39" s="111"/>
      <c r="BU39" s="84"/>
      <c r="BV39" s="84"/>
      <c r="BW39" s="84"/>
      <c r="BX39" s="84"/>
      <c r="BY39" s="84"/>
      <c r="BZ39" s="84"/>
      <c r="CA39" s="85" t="s">
        <v>181</v>
      </c>
      <c r="CB39" s="86"/>
      <c r="CC39" s="87">
        <v>3.4000000000000002E-2</v>
      </c>
      <c r="CD39" s="88" t="s">
        <v>182</v>
      </c>
      <c r="CE39" s="89"/>
      <c r="CF39" s="88" t="s">
        <v>182</v>
      </c>
      <c r="CG39" s="88" t="s">
        <v>98</v>
      </c>
      <c r="CH39" s="54">
        <v>5.2453000000000003</v>
      </c>
      <c r="CI39" s="113"/>
      <c r="CJ39" s="91"/>
      <c r="CK39" s="92"/>
      <c r="CL39" s="93"/>
      <c r="CM39" s="94"/>
      <c r="CN39" s="95"/>
      <c r="CO39" s="96"/>
      <c r="CP39" s="97"/>
      <c r="CQ39" s="98"/>
      <c r="CR39" s="98"/>
      <c r="CS39" s="99"/>
      <c r="CT39" s="112"/>
      <c r="CU39" s="90"/>
      <c r="CV39" s="90"/>
      <c r="CW39" s="90"/>
      <c r="CX39" s="114"/>
      <c r="CY39" s="100"/>
      <c r="CZ39" s="100"/>
      <c r="DA39" s="100"/>
      <c r="DB39" s="100"/>
      <c r="DC39" s="101"/>
      <c r="DD39" s="102"/>
      <c r="DE39" s="102"/>
      <c r="DF39" s="102"/>
      <c r="DG39" s="103"/>
      <c r="DH39" s="104"/>
      <c r="DI39" s="104"/>
      <c r="DJ39" s="104"/>
      <c r="DK39" s="105"/>
      <c r="DL39" s="106"/>
      <c r="DM39" s="84"/>
      <c r="DN39" s="107"/>
      <c r="DO39" s="84"/>
      <c r="DP39" s="84"/>
      <c r="DQ39" s="106"/>
      <c r="DR39" s="107"/>
      <c r="DS39" s="106"/>
      <c r="DT39" s="106"/>
      <c r="DU39" s="100"/>
      <c r="DV39" s="100"/>
      <c r="DW39" s="100"/>
      <c r="DX39" s="100"/>
      <c r="DY39" s="100"/>
      <c r="DZ39" s="100"/>
      <c r="EA39" s="100"/>
      <c r="EB39" s="100"/>
      <c r="EC39" s="100"/>
      <c r="ED39" s="100"/>
    </row>
    <row r="40" spans="1:134" ht="14.5">
      <c r="CA40" s="117" t="s">
        <v>183</v>
      </c>
      <c r="CB40" s="54"/>
      <c r="CC40" s="82">
        <v>5.6500000000000002E-2</v>
      </c>
      <c r="CD40" s="60" t="s">
        <v>184</v>
      </c>
      <c r="CF40" s="54" t="s">
        <v>184</v>
      </c>
      <c r="CG40" s="54" t="s">
        <v>104</v>
      </c>
      <c r="CH40" s="98">
        <v>5.1017999999999999</v>
      </c>
    </row>
    <row r="41" spans="1:134" ht="14.5">
      <c r="CA41" s="117" t="s">
        <v>185</v>
      </c>
      <c r="CB41" s="54"/>
      <c r="CC41" s="82">
        <v>9.1999999999999998E-2</v>
      </c>
      <c r="CD41" s="60" t="s">
        <v>186</v>
      </c>
      <c r="CF41" s="54" t="s">
        <v>187</v>
      </c>
      <c r="CG41" s="54" t="s">
        <v>109</v>
      </c>
      <c r="CH41" s="98">
        <v>4.8231999999999999</v>
      </c>
    </row>
    <row r="42" spans="1:134" ht="14.5">
      <c r="CA42" s="117" t="s">
        <v>188</v>
      </c>
      <c r="CB42" s="54"/>
      <c r="CC42" s="82">
        <v>0.11</v>
      </c>
      <c r="CD42" s="60" t="s">
        <v>187</v>
      </c>
      <c r="CF42" s="54" t="s">
        <v>189</v>
      </c>
      <c r="CG42" s="54" t="s">
        <v>117</v>
      </c>
      <c r="CH42" s="98">
        <v>5.12</v>
      </c>
    </row>
    <row r="43" spans="1:134" ht="14.5">
      <c r="CA43" s="117" t="s">
        <v>190</v>
      </c>
      <c r="CB43" s="54"/>
      <c r="CC43" s="82">
        <v>0.157</v>
      </c>
      <c r="CD43" s="60" t="s">
        <v>189</v>
      </c>
      <c r="CF43" s="54" t="s">
        <v>191</v>
      </c>
      <c r="CG43" s="54" t="s">
        <v>123</v>
      </c>
      <c r="CH43" s="98">
        <v>4.6931000000000003</v>
      </c>
    </row>
    <row r="44" spans="1:134" ht="14.5">
      <c r="CA44" s="117" t="s">
        <v>192</v>
      </c>
      <c r="CB44" s="54"/>
      <c r="CC44" s="82">
        <v>0.183</v>
      </c>
      <c r="CD44" s="60" t="s">
        <v>193</v>
      </c>
      <c r="CF44" s="90" t="s">
        <v>191</v>
      </c>
      <c r="CG44" s="54" t="s">
        <v>129</v>
      </c>
      <c r="CH44" s="98">
        <v>4.6611000000000002</v>
      </c>
    </row>
    <row r="45" spans="1:134" ht="14.5">
      <c r="CA45" s="117" t="s">
        <v>182</v>
      </c>
      <c r="CB45" s="54"/>
      <c r="CC45" s="82">
        <v>0.23200000000000001</v>
      </c>
      <c r="CD45" s="60" t="s">
        <v>194</v>
      </c>
      <c r="CF45" s="90" t="s">
        <v>186</v>
      </c>
      <c r="CG45" s="54" t="s">
        <v>136</v>
      </c>
      <c r="CH45" s="98">
        <v>4.5664999999999996</v>
      </c>
    </row>
    <row r="46" spans="1:134" ht="14.5">
      <c r="CC46" s="82"/>
      <c r="CD46" s="60" t="s">
        <v>195</v>
      </c>
      <c r="CF46" s="90" t="s">
        <v>196</v>
      </c>
      <c r="CG46" s="54" t="s">
        <v>143</v>
      </c>
      <c r="CH46" s="98">
        <v>4.3689999999999998</v>
      </c>
    </row>
    <row r="47" spans="1:134" ht="14.5">
      <c r="CC47" s="82"/>
      <c r="CD47" s="60" t="s">
        <v>197</v>
      </c>
      <c r="CF47" s="90" t="s">
        <v>196</v>
      </c>
      <c r="CG47" s="54" t="s">
        <v>149</v>
      </c>
      <c r="CH47" s="98">
        <v>4.0918000000000001</v>
      </c>
    </row>
    <row r="48" spans="1:134" ht="14.5">
      <c r="CD48" s="60" t="s">
        <v>192</v>
      </c>
      <c r="CF48" s="90" t="s">
        <v>191</v>
      </c>
      <c r="CG48" s="54" t="s">
        <v>198</v>
      </c>
      <c r="CH48" s="98">
        <v>3.9981</v>
      </c>
    </row>
    <row r="49" spans="82:86" ht="14.5">
      <c r="CD49" s="60" t="s">
        <v>191</v>
      </c>
      <c r="CF49" s="90" t="s">
        <v>199</v>
      </c>
      <c r="CG49" s="54" t="s">
        <v>200</v>
      </c>
      <c r="CH49" s="98">
        <v>3.8685999999999998</v>
      </c>
    </row>
    <row r="50" spans="82:86" ht="14.5">
      <c r="CD50" s="60" t="s">
        <v>201</v>
      </c>
      <c r="CF50" s="116" t="s">
        <v>194</v>
      </c>
      <c r="CG50" s="54" t="s">
        <v>202</v>
      </c>
      <c r="CH50" s="98">
        <v>3.8311999999999999</v>
      </c>
    </row>
    <row r="51" spans="82:86" ht="14.5">
      <c r="CD51" s="60" t="s">
        <v>203</v>
      </c>
      <c r="CF51" s="90" t="s">
        <v>191</v>
      </c>
      <c r="CG51" s="54" t="s">
        <v>204</v>
      </c>
      <c r="CH51" s="98">
        <v>3.6583000000000001</v>
      </c>
    </row>
    <row r="52" spans="82:86" ht="14.5">
      <c r="CD52" s="60" t="s">
        <v>205</v>
      </c>
      <c r="CF52" s="116" t="s">
        <v>194</v>
      </c>
      <c r="CG52" s="54" t="s">
        <v>206</v>
      </c>
      <c r="CH52" s="98">
        <v>3.5657000000000001</v>
      </c>
    </row>
    <row r="53" spans="82:86" ht="14.5">
      <c r="CF53" s="90" t="s">
        <v>196</v>
      </c>
      <c r="CG53" s="54" t="s">
        <v>207</v>
      </c>
      <c r="CH53" s="98">
        <v>3.4561999999999999</v>
      </c>
    </row>
    <row r="54" spans="82:86" ht="14.5">
      <c r="CF54" s="90" t="s">
        <v>189</v>
      </c>
      <c r="CG54" s="54" t="s">
        <v>208</v>
      </c>
      <c r="CH54" s="98">
        <v>3.4422000000000001</v>
      </c>
    </row>
    <row r="55" spans="82:86" ht="14.5">
      <c r="CF55" s="60" t="s">
        <v>193</v>
      </c>
      <c r="CG55" s="54" t="s">
        <v>90</v>
      </c>
      <c r="CH55" s="98">
        <v>3.2846000000000002</v>
      </c>
    </row>
    <row r="56" spans="82:86" ht="14.5">
      <c r="CF56" s="60" t="s">
        <v>193</v>
      </c>
      <c r="CG56" s="54" t="s">
        <v>93</v>
      </c>
      <c r="CH56" s="98">
        <v>3.1791999999999998</v>
      </c>
    </row>
    <row r="57" spans="82:86" ht="14.5">
      <c r="CG57" s="54" t="s">
        <v>94</v>
      </c>
      <c r="CH57" s="98">
        <v>3.0880000000000001</v>
      </c>
    </row>
    <row r="58" spans="82:86" ht="14.5">
      <c r="CG58" s="54" t="s">
        <v>97</v>
      </c>
      <c r="CH58" s="98">
        <v>2.8993000000000002</v>
      </c>
    </row>
    <row r="59" spans="82:86" ht="14.5">
      <c r="CG59" s="54" t="s">
        <v>102</v>
      </c>
      <c r="CH59" s="98">
        <v>2.6212</v>
      </c>
    </row>
    <row r="60" spans="82:86" ht="14.5">
      <c r="CG60" s="54" t="s">
        <v>107</v>
      </c>
      <c r="CH60" s="98">
        <v>2.3647999999999998</v>
      </c>
    </row>
    <row r="61" spans="82:86" ht="14.5">
      <c r="CG61" s="54" t="s">
        <v>115</v>
      </c>
      <c r="CH61" s="98">
        <v>1.8503000000000001</v>
      </c>
    </row>
  </sheetData>
  <mergeCells count="8">
    <mergeCell ref="BX2:BZ2"/>
    <mergeCell ref="CB2:CC2"/>
    <mergeCell ref="CA1:CS1"/>
    <mergeCell ref="C1:Q1"/>
    <mergeCell ref="S1:AB1"/>
    <mergeCell ref="AD1:AN1"/>
    <mergeCell ref="AP1:AX1"/>
    <mergeCell ref="AZ1:BN1"/>
  </mergeCells>
  <conditionalFormatting sqref="DC3:DF39 DH3:DT39">
    <cfRule type="expression" dxfId="0" priority="2">
      <formula>#REF!="Euroz"</formula>
    </cfRule>
  </conditionalFormatting>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
  <sheetViews>
    <sheetView zoomScaleNormal="100" workbookViewId="0">
      <selection activeCell="G1" sqref="G1:G2"/>
    </sheetView>
  </sheetViews>
  <sheetFormatPr defaultColWidth="8.6328125" defaultRowHeight="14.25" customHeight="1"/>
  <cols>
    <col min="1" max="1" width="12.81640625" customWidth="1"/>
    <col min="2" max="2" width="21" customWidth="1"/>
    <col min="5" max="5" width="34.26953125" customWidth="1"/>
    <col min="7" max="7" width="10.453125" bestFit="1" customWidth="1"/>
  </cols>
  <sheetData>
    <row r="1" spans="1:7" ht="14.5">
      <c r="A1" t="s">
        <v>58</v>
      </c>
      <c r="B1" t="s">
        <v>209</v>
      </c>
      <c r="D1" t="s">
        <v>210</v>
      </c>
      <c r="E1" t="s">
        <v>211</v>
      </c>
      <c r="G1" t="s">
        <v>288</v>
      </c>
    </row>
    <row r="2" spans="1:7" ht="14.5">
      <c r="A2" s="118">
        <v>45838</v>
      </c>
      <c r="B2" s="119">
        <v>0</v>
      </c>
      <c r="D2" t="s">
        <v>10</v>
      </c>
      <c r="E2" s="119">
        <f>Performancedata!C8</f>
        <v>-2.7000943758537232E-3</v>
      </c>
      <c r="G2" s="173">
        <v>45991</v>
      </c>
    </row>
    <row r="3" spans="1:7" ht="14.5">
      <c r="A3" s="118">
        <v>45869</v>
      </c>
      <c r="B3" s="119">
        <v>2.6599999999999999E-2</v>
      </c>
      <c r="D3" t="s">
        <v>11</v>
      </c>
      <c r="E3" s="119">
        <f>Performancedata!E8</f>
        <v>6.340400929875023E-2</v>
      </c>
    </row>
    <row r="4" spans="1:7" ht="14.5">
      <c r="A4" s="118">
        <v>45900</v>
      </c>
      <c r="B4" s="119">
        <v>5.04E-2</v>
      </c>
      <c r="D4" t="s">
        <v>285</v>
      </c>
      <c r="E4" s="119">
        <f>Performancedata!D8</f>
        <v>0.11699957136740702</v>
      </c>
    </row>
    <row r="5" spans="1:7" ht="14.5">
      <c r="A5" s="118">
        <v>45930</v>
      </c>
      <c r="B5" s="119">
        <v>7.6999999999999999E-2</v>
      </c>
      <c r="D5" t="s">
        <v>76</v>
      </c>
      <c r="E5" s="120">
        <f>Performancedata!H8</f>
        <v>0.30433888942018061</v>
      </c>
    </row>
    <row r="6" spans="1:7" ht="14.25" customHeight="1">
      <c r="A6" s="131">
        <v>45961</v>
      </c>
      <c r="B6" s="119">
        <f>Performancedata!D7</f>
        <v>0.12002374117176751</v>
      </c>
    </row>
    <row r="7" spans="1:7" ht="14.25" customHeight="1">
      <c r="A7" s="131">
        <v>45991</v>
      </c>
      <c r="B7" s="119">
        <f>Performancedata!D8</f>
        <v>0.11699957136740702</v>
      </c>
    </row>
  </sheetData>
  <pageMargins left="0.7" right="0.7" top="0.75" bottom="0.75" header="0.511811023622047" footer="0.511811023622047"/>
  <pageSetup paperSize="9" orientation="portrait" horizontalDpi="300" verticalDpi="30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
  <sheetViews>
    <sheetView tabSelected="1" zoomScaleNormal="100" workbookViewId="0">
      <selection activeCell="A5" sqref="A5"/>
    </sheetView>
  </sheetViews>
  <sheetFormatPr defaultColWidth="8.6328125" defaultRowHeight="14.25" customHeight="1"/>
  <cols>
    <col min="1" max="1" width="10.26953125" customWidth="1"/>
  </cols>
  <sheetData>
    <row r="1" spans="1:13" ht="14.5">
      <c r="A1" t="s">
        <v>212</v>
      </c>
      <c r="B1" t="s">
        <v>213</v>
      </c>
      <c r="C1" t="s">
        <v>214</v>
      </c>
      <c r="D1" t="s">
        <v>215</v>
      </c>
      <c r="E1" t="s">
        <v>216</v>
      </c>
      <c r="F1" t="s">
        <v>217</v>
      </c>
      <c r="G1" t="s">
        <v>218</v>
      </c>
      <c r="H1" t="s">
        <v>219</v>
      </c>
      <c r="I1" t="s">
        <v>220</v>
      </c>
      <c r="J1" t="s">
        <v>221</v>
      </c>
      <c r="K1" t="s">
        <v>222</v>
      </c>
      <c r="L1" t="s">
        <v>223</v>
      </c>
      <c r="M1" t="s">
        <v>224</v>
      </c>
    </row>
    <row r="2" spans="1:13" ht="14.5">
      <c r="A2" t="s">
        <v>289</v>
      </c>
      <c r="B2" s="120">
        <v>4.5999999999999999E-2</v>
      </c>
      <c r="C2">
        <v>1</v>
      </c>
    </row>
    <row r="3" spans="1:13" ht="14.5">
      <c r="A3" t="s">
        <v>290</v>
      </c>
      <c r="B3" s="120">
        <v>4.2000000000000003E-2</v>
      </c>
      <c r="C3">
        <v>2</v>
      </c>
    </row>
    <row r="4" spans="1:13" ht="14.5">
      <c r="A4" t="s">
        <v>287</v>
      </c>
      <c r="B4" s="120">
        <v>4.1300000000000003E-2</v>
      </c>
      <c r="C4">
        <v>3</v>
      </c>
    </row>
    <row r="5" spans="1:13" ht="14.5">
      <c r="B5" s="120"/>
    </row>
    <row r="6" spans="1:13" ht="14.5">
      <c r="B6" s="120"/>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
  <sheetViews>
    <sheetView zoomScaleNormal="100" workbookViewId="0">
      <selection activeCell="H16" sqref="H16"/>
    </sheetView>
  </sheetViews>
  <sheetFormatPr defaultColWidth="8.6328125" defaultRowHeight="14.25" customHeight="1"/>
  <cols>
    <col min="1" max="1" width="16.26953125" customWidth="1"/>
    <col min="2" max="2" width="30.7265625" customWidth="1"/>
  </cols>
  <sheetData>
    <row r="1" spans="1:4">
      <c r="A1" t="s">
        <v>225</v>
      </c>
      <c r="B1" t="s">
        <v>211</v>
      </c>
      <c r="C1" t="s">
        <v>215</v>
      </c>
      <c r="D1" t="s">
        <v>216</v>
      </c>
    </row>
    <row r="2" spans="1:4">
      <c r="A2" t="s">
        <v>41</v>
      </c>
      <c r="B2" s="164">
        <v>3.3316831683168235E-2</v>
      </c>
    </row>
    <row r="3" spans="1:4">
      <c r="A3" t="s">
        <v>42</v>
      </c>
      <c r="B3" s="164">
        <v>-2.7000943758537232E-3</v>
      </c>
    </row>
    <row r="4" spans="1:4">
      <c r="A4" t="s">
        <v>44</v>
      </c>
      <c r="B4" s="164">
        <v>3.5027275337352837E-2</v>
      </c>
    </row>
    <row r="5" spans="1:4">
      <c r="A5" t="s">
        <v>46</v>
      </c>
      <c r="B5" s="164">
        <v>-1.8777339165688689E-3</v>
      </c>
    </row>
    <row r="6" spans="1:4">
      <c r="A6" t="s">
        <v>47</v>
      </c>
      <c r="B6" s="119">
        <v>1.1722974145510086</v>
      </c>
    </row>
    <row r="7" spans="1:4">
      <c r="A7" t="s">
        <v>48</v>
      </c>
      <c r="B7" s="119">
        <v>1.4379536695952804</v>
      </c>
    </row>
    <row r="8" spans="1:4">
      <c r="A8" t="s">
        <v>50</v>
      </c>
      <c r="B8" s="119">
        <v>0.18135975013251002</v>
      </c>
    </row>
    <row r="9" spans="1:4">
      <c r="A9" t="s">
        <v>51</v>
      </c>
      <c r="B9" s="119">
        <v>0.71903041066918116</v>
      </c>
    </row>
    <row r="10" spans="1:4">
      <c r="A10" t="s">
        <v>52</v>
      </c>
      <c r="B10" s="121">
        <v>0.77359491498646449</v>
      </c>
    </row>
  </sheetData>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zoomScaleNormal="100" workbookViewId="0">
      <selection activeCell="B10" sqref="B10"/>
    </sheetView>
  </sheetViews>
  <sheetFormatPr defaultColWidth="8.6328125" defaultRowHeight="14.25" customHeight="1"/>
  <cols>
    <col min="1" max="1" width="23.26953125" customWidth="1"/>
    <col min="2" max="2" width="30.26953125" customWidth="1"/>
  </cols>
  <sheetData>
    <row r="1" spans="1:2" ht="26.5">
      <c r="A1" s="122" t="s">
        <v>225</v>
      </c>
      <c r="B1" s="122" t="s">
        <v>211</v>
      </c>
    </row>
    <row r="2" spans="1:2" ht="24">
      <c r="A2" s="123" t="str">
        <f>Newsletter!AC126</f>
        <v>Universe</v>
      </c>
      <c r="B2" s="33" t="str">
        <f>Newsletter!AF126</f>
        <v>Global</v>
      </c>
    </row>
    <row r="3" spans="1:2" ht="24">
      <c r="A3" s="123" t="str">
        <f>Newsletter!AC127</f>
        <v>Holdings</v>
      </c>
      <c r="B3" s="33" t="str">
        <f>Newsletter!AF127</f>
        <v>5-20</v>
      </c>
    </row>
    <row r="4" spans="1:2" ht="24">
      <c r="A4" s="123" t="str">
        <f>Newsletter!AC128</f>
        <v>Target</v>
      </c>
      <c r="B4" s="33" t="str">
        <f>Newsletter!AF128</f>
        <v>&gt;10% net p.a.</v>
      </c>
    </row>
    <row r="5" spans="1:2" ht="24">
      <c r="A5" s="123" t="str">
        <f>Newsletter!AC129</f>
        <v>Min Investment</v>
      </c>
      <c r="B5" s="33" t="str">
        <f>Newsletter!AF129</f>
        <v>$100k</v>
      </c>
    </row>
    <row r="6" spans="1:2" ht="24">
      <c r="A6" s="123" t="str">
        <f>Newsletter!AC130</f>
        <v>Mgmt. Fee</v>
      </c>
      <c r="B6" s="33">
        <f>Newsletter!AF130</f>
        <v>0.01</v>
      </c>
    </row>
    <row r="7" spans="1:2" ht="24">
      <c r="A7" s="123" t="str">
        <f>Newsletter!AC131</f>
        <v>Perf. Fee</v>
      </c>
      <c r="B7" s="33">
        <f>Newsletter!AF131</f>
        <v>0.2</v>
      </c>
    </row>
    <row r="8" spans="1:2" ht="24">
      <c r="A8" s="123" t="str">
        <f>Newsletter!AC132</f>
        <v>APIR</v>
      </c>
      <c r="B8" s="33" t="str">
        <f>Newsletter!AF132</f>
        <v>NCC5451AU</v>
      </c>
    </row>
    <row r="9" spans="1:2" ht="24">
      <c r="A9" s="123" t="str">
        <f>Newsletter!AC133</f>
        <v>Vehicle</v>
      </c>
      <c r="B9" s="33" t="str">
        <f>Newsletter!AF133</f>
        <v>Wholesale Unit Trust</v>
      </c>
    </row>
    <row r="10" spans="1:2" ht="24">
      <c r="A10" s="123" t="str">
        <f>Newsletter!AC134</f>
        <v>PM</v>
      </c>
      <c r="B10" s="33" t="str">
        <f>Newsletter!AF134</f>
        <v>Hayden Beamish</v>
      </c>
    </row>
  </sheetData>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0"/>
  <sheetViews>
    <sheetView zoomScaleNormal="100" workbookViewId="0">
      <selection activeCell="E7" sqref="E7"/>
    </sheetView>
  </sheetViews>
  <sheetFormatPr defaultColWidth="8.6328125" defaultRowHeight="14.25" customHeight="1"/>
  <cols>
    <col min="1" max="1" width="11.08984375" customWidth="1"/>
    <col min="4" max="4" width="20.81640625" customWidth="1"/>
    <col min="5" max="5" width="17.81640625" customWidth="1"/>
    <col min="7" max="7" width="17.453125" customWidth="1"/>
    <col min="8" max="8" width="34.453125" customWidth="1"/>
    <col min="9" max="9" width="45.81640625" customWidth="1"/>
  </cols>
  <sheetData>
    <row r="1" spans="1:9">
      <c r="A1" s="124" t="s">
        <v>225</v>
      </c>
      <c r="B1" s="124" t="s">
        <v>211</v>
      </c>
      <c r="D1" s="124" t="s">
        <v>226</v>
      </c>
      <c r="E1" s="124" t="s">
        <v>211</v>
      </c>
      <c r="G1" s="124" t="s">
        <v>226</v>
      </c>
      <c r="H1" s="124" t="s">
        <v>211</v>
      </c>
      <c r="I1" s="124" t="s">
        <v>227</v>
      </c>
    </row>
    <row r="2" spans="1:9">
      <c r="A2" t="s">
        <v>228</v>
      </c>
      <c r="B2" s="120">
        <v>0.52400000000000002</v>
      </c>
      <c r="D2" s="165" t="s">
        <v>114</v>
      </c>
      <c r="E2">
        <v>0.62</v>
      </c>
      <c r="G2" t="s">
        <v>229</v>
      </c>
      <c r="H2">
        <v>0.84</v>
      </c>
      <c r="I2" t="s">
        <v>171</v>
      </c>
    </row>
    <row r="3" spans="1:9">
      <c r="A3" t="s">
        <v>230</v>
      </c>
      <c r="B3" s="120">
        <v>-1.9900000000000001E-2</v>
      </c>
      <c r="D3" s="165" t="s">
        <v>91</v>
      </c>
      <c r="E3">
        <v>0.13789999999999999</v>
      </c>
      <c r="G3" t="s">
        <v>231</v>
      </c>
      <c r="H3">
        <v>0.11</v>
      </c>
      <c r="I3" t="s">
        <v>172</v>
      </c>
    </row>
    <row r="4" spans="1:9">
      <c r="A4" t="s">
        <v>232</v>
      </c>
      <c r="B4" s="120">
        <f>B2+B3</f>
        <v>0.50409999999999999</v>
      </c>
      <c r="D4" s="165" t="s">
        <v>92</v>
      </c>
      <c r="E4">
        <v>0.11</v>
      </c>
      <c r="G4" t="s">
        <v>233</v>
      </c>
      <c r="H4">
        <v>0</v>
      </c>
      <c r="I4" t="s">
        <v>173</v>
      </c>
    </row>
    <row r="5" spans="1:9">
      <c r="D5" s="165" t="s">
        <v>279</v>
      </c>
      <c r="E5">
        <f>0.1379-0.0598</f>
        <v>7.8100000000000003E-2</v>
      </c>
      <c r="G5" t="s">
        <v>234</v>
      </c>
      <c r="H5">
        <v>0</v>
      </c>
      <c r="I5" t="s">
        <v>174</v>
      </c>
    </row>
    <row r="6" spans="1:9">
      <c r="D6" s="165" t="s">
        <v>286</v>
      </c>
      <c r="E6">
        <f>1-SUM(E2:E5)</f>
        <v>5.4000000000000048E-2</v>
      </c>
      <c r="G6" t="s">
        <v>235</v>
      </c>
      <c r="H6">
        <v>0.05</v>
      </c>
      <c r="I6" t="s">
        <v>175</v>
      </c>
    </row>
    <row r="7" spans="1:9">
      <c r="D7" s="109"/>
    </row>
    <row r="8" spans="1:9">
      <c r="D8" s="81"/>
    </row>
    <row r="9" spans="1:9">
      <c r="D9" s="81"/>
    </row>
    <row r="10" spans="1:9">
      <c r="D10" s="115"/>
    </row>
    <row r="13" spans="1:9">
      <c r="D13" s="81"/>
      <c r="E13" s="82"/>
      <c r="F13" s="83"/>
    </row>
    <row r="14" spans="1:9">
      <c r="D14" s="109"/>
      <c r="E14" s="110"/>
      <c r="F14" s="111"/>
    </row>
    <row r="15" spans="1:9">
      <c r="D15" s="109"/>
      <c r="E15" s="82"/>
      <c r="F15" s="111"/>
    </row>
    <row r="16" spans="1:9">
      <c r="D16" s="109"/>
      <c r="E16" s="82"/>
      <c r="F16" s="111"/>
    </row>
    <row r="17" spans="4:6">
      <c r="D17" s="109"/>
      <c r="E17" s="82"/>
      <c r="F17" s="111"/>
    </row>
    <row r="18" spans="4:6">
      <c r="D18" s="81"/>
      <c r="E18" s="82"/>
      <c r="F18" s="83"/>
    </row>
    <row r="19" spans="4:6">
      <c r="D19" s="81"/>
      <c r="E19" s="82"/>
      <c r="F19" s="83"/>
    </row>
    <row r="20" spans="4:6">
      <c r="D20" s="115"/>
      <c r="E20" s="82"/>
      <c r="F20" s="111"/>
    </row>
  </sheetData>
  <pageMargins left="0.7" right="0.7" top="0.75" bottom="0.75" header="0.511811023622047" footer="0.511811023622047"/>
  <pageSetup paperSize="9" orientation="portrait" horizontalDpi="300" verticalDpi="300"/>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2"/>
  <sheetViews>
    <sheetView zoomScaleNormal="100" workbookViewId="0"/>
  </sheetViews>
  <sheetFormatPr defaultColWidth="8.6328125" defaultRowHeight="14.25" customHeight="1"/>
  <cols>
    <col min="1" max="1" width="12" customWidth="1"/>
    <col min="2" max="2" width="30.7265625" customWidth="1"/>
  </cols>
  <sheetData>
    <row r="1" spans="1:2" ht="14.5">
      <c r="A1" s="124" t="s">
        <v>225</v>
      </c>
      <c r="B1" s="124" t="s">
        <v>236</v>
      </c>
    </row>
    <row r="2" spans="1:2" ht="90">
      <c r="A2" s="125" t="s">
        <v>237</v>
      </c>
      <c r="B2" s="126" t="s">
        <v>238</v>
      </c>
    </row>
    <row r="3" spans="1:2" ht="90">
      <c r="A3" t="s">
        <v>239</v>
      </c>
      <c r="B3" s="126" t="s">
        <v>240</v>
      </c>
    </row>
    <row r="4" spans="1:2" ht="117">
      <c r="A4" t="s">
        <v>241</v>
      </c>
      <c r="B4" s="126" t="s">
        <v>242</v>
      </c>
    </row>
    <row r="5" spans="1:2" ht="117">
      <c r="A5" t="s">
        <v>243</v>
      </c>
      <c r="B5" s="126" t="s">
        <v>244</v>
      </c>
    </row>
    <row r="8" spans="1:2" ht="23">
      <c r="A8" s="127"/>
    </row>
    <row r="9" spans="1:2" ht="14.5">
      <c r="A9" s="128"/>
    </row>
    <row r="10" spans="1:2" ht="14.5">
      <c r="A10" s="126"/>
    </row>
    <row r="11" spans="1:2" ht="14.5">
      <c r="A11" s="129"/>
    </row>
    <row r="12" spans="1:2" ht="23">
      <c r="A12" s="127"/>
    </row>
    <row r="13" spans="1:2" ht="14.5">
      <c r="A13" s="128"/>
    </row>
    <row r="14" spans="1:2" ht="14.5">
      <c r="A14" s="126"/>
    </row>
    <row r="15" spans="1:2" ht="14.5">
      <c r="A15" s="129"/>
    </row>
    <row r="16" spans="1:2" ht="23">
      <c r="A16" s="127"/>
    </row>
    <row r="17" spans="1:1" ht="14.5">
      <c r="A17" s="128"/>
    </row>
    <row r="18" spans="1:1" ht="14.5">
      <c r="A18" s="126"/>
    </row>
    <row r="19" spans="1:1" ht="14.5">
      <c r="A19" s="129"/>
    </row>
    <row r="20" spans="1:1" ht="23">
      <c r="A20" s="127"/>
    </row>
    <row r="21" spans="1:1" ht="14.5">
      <c r="A21" s="128"/>
    </row>
    <row r="22" spans="1:1" ht="14.5">
      <c r="A22" s="126"/>
    </row>
  </sheetData>
  <pageMargins left="0.7" right="0.7" top="0.75" bottom="0.75"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3564D6C4D0CB46BB0B3867B66CB08A" ma:contentTypeVersion="12" ma:contentTypeDescription="Create a new document." ma:contentTypeScope="" ma:versionID="c319d8763b72b8751faf181ae4ae768f">
  <xsd:schema xmlns:xsd="http://www.w3.org/2001/XMLSchema" xmlns:xs="http://www.w3.org/2001/XMLSchema" xmlns:p="http://schemas.microsoft.com/office/2006/metadata/properties" xmlns:ns2="cd6d0250-26e6-4018-96cc-9d4b267bf602" xmlns:ns3="ba7ac31c-47df-4cec-a670-87c4a6b08e03" targetNamespace="http://schemas.microsoft.com/office/2006/metadata/properties" ma:root="true" ma:fieldsID="84d0083d4454dea4e9840a7b60f9a3ce" ns2:_="" ns3:_="">
    <xsd:import namespace="cd6d0250-26e6-4018-96cc-9d4b267bf602"/>
    <xsd:import namespace="ba7ac31c-47df-4cec-a670-87c4a6b08e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6d0250-26e6-4018-96cc-9d4b267bf6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36b254e-62ae-4d77-9234-28b9d25c55e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a7ac31c-47df-4cec-a670-87c4a6b08e0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3b74265-7ca9-4846-a86d-599cc4d293c9}" ma:internalName="TaxCatchAll" ma:showField="CatchAllData" ma:web="ba7ac31c-47df-4cec-a670-87c4a6b08e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d6d0250-26e6-4018-96cc-9d4b267bf602">
      <Terms xmlns="http://schemas.microsoft.com/office/infopath/2007/PartnerControls"/>
    </lcf76f155ced4ddcb4097134ff3c332f>
    <TaxCatchAll xmlns="ba7ac31c-47df-4cec-a670-87c4a6b08e03" xsi:nil="true"/>
    <MediaLengthInSeconds xmlns="cd6d0250-26e6-4018-96cc-9d4b267bf602" xsi:nil="true"/>
  </documentManagement>
</p:properties>
</file>

<file path=customXml/itemProps1.xml><?xml version="1.0" encoding="utf-8"?>
<ds:datastoreItem xmlns:ds="http://schemas.openxmlformats.org/officeDocument/2006/customXml" ds:itemID="{7566D01C-ECEC-4BF5-8616-12E76A91A7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6d0250-26e6-4018-96cc-9d4b267bf602"/>
    <ds:schemaRef ds:uri="ba7ac31c-47df-4cec-a670-87c4a6b08e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5DAC66-34FF-411F-B27D-494581287E7C}">
  <ds:schemaRefs>
    <ds:schemaRef ds:uri="http://schemas.microsoft.com/sharepoint/v3/contenttype/forms"/>
  </ds:schemaRefs>
</ds:datastoreItem>
</file>

<file path=customXml/itemProps3.xml><?xml version="1.0" encoding="utf-8"?>
<ds:datastoreItem xmlns:ds="http://schemas.openxmlformats.org/officeDocument/2006/customXml" ds:itemID="{3CDF4DAF-E893-439E-B96A-FDDC553C23F6}">
  <ds:schemaRefs>
    <ds:schemaRef ds:uri="http://schemas.microsoft.com/office/2006/metadata/properties"/>
    <ds:schemaRef ds:uri="http://schemas.microsoft.com/office/infopath/2007/PartnerControls"/>
    <ds:schemaRef ds:uri="cd6d0250-26e6-4018-96cc-9d4b267bf602"/>
    <ds:schemaRef ds:uri="ba7ac31c-47df-4cec-a670-87c4a6b08e03"/>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Instructions - New month</vt:lpstr>
      <vt:lpstr>Newsletter</vt:lpstr>
      <vt:lpstr>Performancedata</vt:lpstr>
      <vt:lpstr>Performance</vt:lpstr>
      <vt:lpstr>Holdings</vt:lpstr>
      <vt:lpstr>Stats</vt:lpstr>
      <vt:lpstr>TheFund</vt:lpstr>
      <vt:lpstr>Exposure</vt:lpstr>
      <vt:lpstr>Text</vt:lpstr>
      <vt:lpstr>Date_updated</vt:lpstr>
      <vt:lpstr>MarketCapExposureTable</vt:lpstr>
      <vt:lpstr>NetExposureTable</vt:lpstr>
      <vt:lpstr>PerformanceChartTable</vt:lpstr>
      <vt:lpstr>SectorExposureTable</vt:lpstr>
      <vt:lpstr>Statisticstable</vt:lpstr>
      <vt:lpstr>TextBlocksTable</vt:lpstr>
      <vt:lpstr>TheFundTable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Hayden Beamish</dc:creator>
  <cp:lastModifiedBy>Hayden Beamish</cp:lastModifiedBy>
  <dcterms:created xsi:type="dcterms:W3CDTF">2025-11-10T23:33:01Z</dcterms:created>
  <dcterms:modified xsi:type="dcterms:W3CDTF">2025-12-02T04:27:09Z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2022-10-14T09:37:34Z</dcterms:created>
  <dc:creator>Joe Carlton</dc:creator>
  <dc:description/>
  <dc:language>en-IN</dc:language>
  <cp:lastModifiedBy>Guest User</cp:lastModifiedBy>
  <dcterms:modified xsi:type="dcterms:W3CDTF">2025-10-01T09:49:37Z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0x010100693564D6C4D0CB46BB0B3867B66CB08A</vt:lpwstr>
  </property>
  <property fmtid="{D5CDD505-2E9C-101B-9397-08002B2CF9AE}" pid="4" name="GUID">
    <vt:lpwstr>165314a3-5b25-4ee0-8565-d3f5b285e681</vt:lpwstr>
  </property>
  <property fmtid="{D5CDD505-2E9C-101B-9397-08002B2CF9AE}" pid="5" name="MediaServiceImageTags">
    <vt:lpwstr/>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xd_ProgID">
    <vt:lpwstr/>
  </property>
  <property fmtid="{D5CDD505-2E9C-101B-9397-08002B2CF9AE}" pid="10" name="xd_Signature">
    <vt:lpwstr/>
  </property>
</Properties>
</file>