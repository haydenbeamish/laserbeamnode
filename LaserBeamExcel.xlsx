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10.wmf" ContentType="image/x-wmf"/>
  <Override PartName="/xl/media/image8.png" ContentType="image/png"/>
  <Override PartName="/xl/media/image11.wmf" ContentType="image/x-wmf"/>
  <Override PartName="/xl/media/image9.png" ContentType="image/png"/>
  <Override PartName="/xl/tables/table1.xml" ContentType="application/vnd.openxmlformats-officedocument.spreadsheetml.table+xml"/>
  <Override PartName="/xl/tables/table2.xml" ContentType="application/vnd.openxmlformats-officedocument.spreadsheetml.table+xml"/>
  <Override PartName="/xl/tables/table9.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1" activeTab="1"/>
  </bookViews>
  <sheets>
    <sheet name="Instructions - New month" sheetId="1" state="hidden" r:id="rId3"/>
    <sheet name="Newsletter" sheetId="2" state="visible" r:id="rId4"/>
    <sheet name="Performancedata" sheetId="3" state="visible" r:id="rId5"/>
    <sheet name="Secrets" sheetId="4" state="visible" r:id="rId6"/>
    <sheet name="Performance" sheetId="5" state="visible" r:id="rId7"/>
    <sheet name="Holdings" sheetId="6" state="visible" r:id="rId8"/>
    <sheet name="Stats" sheetId="7" state="visible" r:id="rId9"/>
    <sheet name="TheFund" sheetId="8" state="visible" r:id="rId10"/>
    <sheet name="Exposure" sheetId="9" state="visible" r:id="rId11"/>
    <sheet name="Text" sheetId="10" state="visible" r:id="rId12"/>
  </sheets>
  <externalReferences>
    <externalReference r:id="rId13"/>
    <externalReference r:id="rId14"/>
  </externalReferences>
  <definedNames>
    <definedName function="false" hidden="false" name="MarketCapExposureTable" vbProcedure="false">Exposure!$G$1:$I$6</definedName>
    <definedName function="false" hidden="false" name="NetExposureTable" vbProcedure="false">Exposure!$A$1:$B$4</definedName>
    <definedName function="false" hidden="false" name="PerformanceChartTable" vbProcedure="false">Table1[#All]</definedName>
    <definedName function="false" hidden="false" name="SectorExposureTable" vbProcedure="false">Exposure!$D$1:$E$10</definedName>
    <definedName function="false" hidden="false" name="Statisticstable" vbProcedure="false">Stats!$A$1:$B$10</definedName>
    <definedName function="false" hidden="false" name="TextBlocksTable" vbProcedure="false">Text!$A$1:$B$5</definedName>
    <definedName function="false" hidden="false" name="TheFundTable" vbProcedure="false">TheFund!$A$1:$B$10</definedName>
    <definedName function="false" hidden="true" name="_xleta.GROWTH" vbProcedure="false">#NAME?</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<sst xmlns="http://schemas.openxmlformats.org/spreadsheetml/2006/main" count="490" uniqueCount="301">
  <si>
    <t xml:space="preserve">1. update the separate fund spreadsheets in "Newsletter Data &gt; Convserions" for the latest months performance</t>
  </si>
  <si>
    <t xml:space="preserve">(1b. Attentus will send ARF performance to portfolioadmin in the 'NAV pack')</t>
  </si>
  <si>
    <t xml:space="preserve">2. In this excel doc, go to the sheet 'Performance Data' and update final row, take a note of the latest month's number in column A</t>
  </si>
  <si>
    <t xml:space="preserve">3. In the 'Summary' sheet, update cell A1 for the latest month number (eg. '148' would update for sep22 numbers)</t>
  </si>
  <si>
    <t xml:space="preserve">4. in the 'contribution data' sheet, update the red text for the latest month's contribution data. Do this by C&amp;P from IRESS using 'commands &gt; IPS &gt; reporting &gt; Performance Contribution)</t>
  </si>
  <si>
    <t xml:space="preserve">see screenshot for settings configuration - &gt; if you cant see these settings, click on brown filter</t>
  </si>
  <si>
    <t xml:space="preserve">5. Check each of the funds tabs for any data feed errors. If a new stock has been added, it may need to go into the 'Names' sheet</t>
  </si>
  <si>
    <t xml:space="preserve">6. Once spreadsheet has been updated, open up the pp preso doc for each fund, click 'update links' on entry. </t>
  </si>
  <si>
    <t xml:space="preserve">7. Ensure data is feeding correctly</t>
  </si>
  <si>
    <t xml:space="preserve">NET PERFORMANCE</t>
  </si>
  <si>
    <t xml:space="preserve">MTD</t>
  </si>
  <si>
    <t xml:space="preserve">QTD</t>
  </si>
  <si>
    <t xml:space="preserve">FYTD</t>
  </si>
  <si>
    <t xml:space="preserve">ANNUALISED</t>
  </si>
  <si>
    <t xml:space="preserve">LASER BEAM FUND</t>
  </si>
  <si>
    <t xml:space="preserve">TOP HOLDINGS</t>
  </si>
  <si>
    <t xml:space="preserve">GET FROM CELL R109</t>
  </si>
  <si>
    <t xml:space="preserve">TOP CONTRIBUTORS</t>
  </si>
  <si>
    <t xml:space="preserve">THE FUND</t>
  </si>
  <si>
    <t xml:space="preserve">Alphabet </t>
  </si>
  <si>
    <t xml:space="preserve">Universe</t>
  </si>
  <si>
    <t xml:space="preserve">Global</t>
  </si>
  <si>
    <t xml:space="preserve">Holdings</t>
  </si>
  <si>
    <t xml:space="preserve">5-20</t>
  </si>
  <si>
    <t xml:space="preserve">Target</t>
  </si>
  <si>
    <t xml:space="preserve">&gt;10% net p.a.</t>
  </si>
  <si>
    <t xml:space="preserve">Min Investment</t>
  </si>
  <si>
    <t xml:space="preserve">$100k</t>
  </si>
  <si>
    <t xml:space="preserve">Mgmt. Fee</t>
  </si>
  <si>
    <t xml:space="preserve">Net Exposure</t>
  </si>
  <si>
    <t xml:space="preserve">TOP DETRACTORS</t>
  </si>
  <si>
    <t xml:space="preserve">Perf. Fee</t>
  </si>
  <si>
    <t xml:space="preserve">Gross Long</t>
  </si>
  <si>
    <t xml:space="preserve">APIR</t>
  </si>
  <si>
    <t xml:space="preserve">NCC5451AU</t>
  </si>
  <si>
    <t xml:space="preserve">Gross Short</t>
  </si>
  <si>
    <t xml:space="preserve">Vehicle</t>
  </si>
  <si>
    <t xml:space="preserve">Wholesale Unit Trust</t>
  </si>
  <si>
    <t xml:space="preserve">PM</t>
  </si>
  <si>
    <t xml:space="preserve">Hayden Beamish</t>
  </si>
  <si>
    <t xml:space="preserve">STATISTICS</t>
  </si>
  <si>
    <t xml:space="preserve">Amazon </t>
  </si>
  <si>
    <t xml:space="preserve">Best Month</t>
  </si>
  <si>
    <t xml:space="preserve">Worst Month</t>
  </si>
  <si>
    <t xml:space="preserve">Reddit</t>
  </si>
  <si>
    <t xml:space="preserve">MSCI AW Best</t>
  </si>
  <si>
    <t xml:space="preserve">United Health</t>
  </si>
  <si>
    <t xml:space="preserve">MSCI AW Worst</t>
  </si>
  <si>
    <t xml:space="preserve">Upside Capture</t>
  </si>
  <si>
    <t xml:space="preserve">Downside Capture</t>
  </si>
  <si>
    <t xml:space="preserve">-</t>
  </si>
  <si>
    <t xml:space="preserve">Avg. Net Exposure</t>
  </si>
  <si>
    <t xml:space="preserve">Avg. Cash Balance</t>
  </si>
  <si>
    <t xml:space="preserve">Beta</t>
  </si>
  <si>
    <t xml:space="preserve">LBF DATA</t>
  </si>
  <si>
    <t xml:space="preserve">MGWD DATA</t>
  </si>
  <si>
    <t xml:space="preserve">LBF Data</t>
  </si>
  <si>
    <t xml:space="preserve">MSCI DATA</t>
  </si>
  <si>
    <t xml:space="preserve">HEDGE DATA</t>
  </si>
  <si>
    <t xml:space="preserve">Month</t>
  </si>
  <si>
    <t xml:space="preserve">NAV</t>
  </si>
  <si>
    <t xml:space="preserve">Inception</t>
  </si>
  <si>
    <t xml:space="preserve">Quarter</t>
  </si>
  <si>
    <t xml:space="preserve">FY</t>
  </si>
  <si>
    <t xml:space="preserve">1 Yr</t>
  </si>
  <si>
    <t xml:space="preserve">LBF Annualised</t>
  </si>
  <si>
    <t xml:space="preserve">Std Dev</t>
  </si>
  <si>
    <t xml:space="preserve">Gain/Pain</t>
  </si>
  <si>
    <t xml:space="preserve">Sortino Ratio</t>
  </si>
  <si>
    <t xml:space="preserve">Sharpe Ratio</t>
  </si>
  <si>
    <t xml:space="preserve">Roll. Inception Beta</t>
  </si>
  <si>
    <t xml:space="preserve">MGWD Month</t>
  </si>
  <si>
    <t xml:space="preserve">MGWD Inception</t>
  </si>
  <si>
    <t xml:space="preserve">MGWD 1 Yr</t>
  </si>
  <si>
    <t xml:space="preserve">MGWD Annualised</t>
  </si>
  <si>
    <t xml:space="preserve">Hurdle</t>
  </si>
  <si>
    <t xml:space="preserve">Rf</t>
  </si>
  <si>
    <t xml:space="preserve">Monthly Excess Return</t>
  </si>
  <si>
    <t xml:space="preserve">Rolling 12 Months Ex Ret</t>
  </si>
  <si>
    <t xml:space="preserve">Neg. Exc. Ret.</t>
  </si>
  <si>
    <t xml:space="preserve">Square Neg. Exc. Ret.</t>
  </si>
  <si>
    <t xml:space="preserve">Downside Deviation</t>
  </si>
  <si>
    <t xml:space="preserve">Annualised</t>
  </si>
  <si>
    <t xml:space="preserve">Sharpe Excess</t>
  </si>
  <si>
    <t xml:space="preserve">Sharpe Deviation</t>
  </si>
  <si>
    <t xml:space="preserve">Sharpe Annualised</t>
  </si>
  <si>
    <t xml:space="preserve">Weighted Avg. Market Cap ($m)</t>
  </si>
  <si>
    <t xml:space="preserve">Avg. Daily Liquidity</t>
  </si>
  <si>
    <t xml:space="preserve">Cash</t>
  </si>
  <si>
    <t xml:space="preserve">Avg. Cash</t>
  </si>
  <si>
    <t xml:space="preserve">Long Equities</t>
  </si>
  <si>
    <t xml:space="preserve">Short Equities</t>
  </si>
  <si>
    <t xml:space="preserve">Gross Exposure</t>
  </si>
  <si>
    <t xml:space="preserve">Gross Exposure </t>
  </si>
  <si>
    <t xml:space="preserve">Net Exposure </t>
  </si>
  <si>
    <t xml:space="preserve">Avg Gross Exposure %</t>
  </si>
  <si>
    <t xml:space="preserve">Avg Net Exposure %</t>
  </si>
  <si>
    <t xml:space="preserve">Month End Sector</t>
  </si>
  <si>
    <t xml:space="preserve">FACTSET </t>
  </si>
  <si>
    <t xml:space="preserve">INDEX</t>
  </si>
  <si>
    <t xml:space="preserve">MVP-AU</t>
  </si>
  <si>
    <t xml:space="preserve">Hardcode</t>
  </si>
  <si>
    <t xml:space="preserve">TECHNOLOGY</t>
  </si>
  <si>
    <t xml:space="preserve">MATERIALS</t>
  </si>
  <si>
    <t xml:space="preserve">PNV-AU</t>
  </si>
  <si>
    <t xml:space="preserve">INDUSTRIALS</t>
  </si>
  <si>
    <t xml:space="preserve">AAPL-NYS</t>
  </si>
  <si>
    <t xml:space="preserve">Top 10 Holdings</t>
  </si>
  <si>
    <t xml:space="preserve">Company name</t>
  </si>
  <si>
    <t xml:space="preserve">Weighting</t>
  </si>
  <si>
    <t xml:space="preserve">Market cap</t>
  </si>
  <si>
    <t xml:space="preserve">EV</t>
  </si>
  <si>
    <t xml:space="preserve">EV </t>
  </si>
  <si>
    <t xml:space="preserve">Share Price</t>
  </si>
  <si>
    <t xml:space="preserve">FY0 EPS</t>
  </si>
  <si>
    <t xml:space="preserve">FY1 EPS</t>
  </si>
  <si>
    <t xml:space="preserve">FY2 EPS</t>
  </si>
  <si>
    <t xml:space="preserve">FY3 EPS</t>
  </si>
  <si>
    <t xml:space="preserve">EPS Growth (FY1)</t>
  </si>
  <si>
    <t xml:space="preserve">FY0 EBITDA</t>
  </si>
  <si>
    <t xml:space="preserve">FY1 EBITDA</t>
  </si>
  <si>
    <t xml:space="preserve">FY2 EBITDA</t>
  </si>
  <si>
    <t xml:space="preserve">EBITDA Growth (FY1)</t>
  </si>
  <si>
    <t xml:space="preserve">FCF Yield (FY1)</t>
  </si>
  <si>
    <t xml:space="preserve">P/E (FY1)</t>
  </si>
  <si>
    <t xml:space="preserve">EPS Growth (FY2)</t>
  </si>
  <si>
    <t xml:space="preserve">PEG</t>
  </si>
  <si>
    <t xml:space="preserve">EV/EBITDA (FY1)</t>
  </si>
  <si>
    <t xml:space="preserve">EBITDA Margin (FY1)</t>
  </si>
  <si>
    <t xml:space="preserve">EBITDA Growth (FY2)</t>
  </si>
  <si>
    <t xml:space="preserve">ROE (FY1)</t>
  </si>
  <si>
    <t xml:space="preserve">ROIC (FY1)</t>
  </si>
  <si>
    <t xml:space="preserve">Sector</t>
  </si>
  <si>
    <t xml:space="preserve">METALS</t>
  </si>
  <si>
    <t xml:space="preserve">CGF-AU</t>
  </si>
  <si>
    <t xml:space="preserve">MQG</t>
  </si>
  <si>
    <t xml:space="preserve">MQG-AU</t>
  </si>
  <si>
    <t xml:space="preserve">Macquarie Group Limited</t>
  </si>
  <si>
    <t xml:space="preserve">n/a</t>
  </si>
  <si>
    <t xml:space="preserve">Finance</t>
  </si>
  <si>
    <t xml:space="preserve">Miscellaneous</t>
  </si>
  <si>
    <t xml:space="preserve">Exists as exchange Traded Fund</t>
  </si>
  <si>
    <t xml:space="preserve">HEALTH CARE</t>
  </si>
  <si>
    <t xml:space="preserve">ALU-AU</t>
  </si>
  <si>
    <t xml:space="preserve">TWTR</t>
  </si>
  <si>
    <t xml:space="preserve">TWTR-NYS</t>
  </si>
  <si>
    <t xml:space="preserve">Twitter, Inc.</t>
  </si>
  <si>
    <t xml:space="preserve">Technology Services</t>
  </si>
  <si>
    <t xml:space="preserve">Altium Ltd. engages in developing and selling of computer software for the design of electronic products. It operates through the following segments: Board and Systems; Micro-Controllers and Embedded Systems; and Makers and Content. The Board and Systems segment includes results from PCB business for the americas, EMEA, asia pacific and emerging Markets regions as well as other products sold through partner channels. The Micro-Controllers and Embedded Systems segment comprises of results from tasking sales, operations and research and development. The Makers and Content segment covers the results from Octopart. The company was founded by Nicholas Martin in 1985 and is headquartered in Chatswood, Australia.</t>
  </si>
  <si>
    <t xml:space="preserve">Designs, develops and markets computer software for the design of electronic products</t>
  </si>
  <si>
    <t xml:space="preserve">COMMUNICATIONS</t>
  </si>
  <si>
    <t xml:space="preserve">NEA-AU</t>
  </si>
  <si>
    <t xml:space="preserve">CWP</t>
  </si>
  <si>
    <t xml:space="preserve">CWP-AU</t>
  </si>
  <si>
    <t xml:space="preserve">Cedar Woods Properties Limited</t>
  </si>
  <si>
    <t xml:space="preserve">Producer Manufacturing</t>
  </si>
  <si>
    <t xml:space="preserve">Austal Ltd. engages in the design and construction of customized aluminum commercial and defense vessels. The company operates through the following segments: Australia, USA, and Asia. The Australia segment manufactures commercial and defense vessels for markets worldwide, excluding the USA and provides training and on-going support and maintenance for vessels. The USA segment engages in the manufacturing of aluminum defense vessels for the US Navy and provides training and on-going support and maintenance of these performance vessels for the US Navy. The Asia segment provides aluminium commercial vessels for global markets excluding the USA. The company was founded by John Rothwell in 1988 and is headquartered in Henderson, Australia.</t>
  </si>
  <si>
    <t xml:space="preserve">Designs and constructs customized aluminium commercial and defence vessels</t>
  </si>
  <si>
    <t xml:space="preserve">CASH</t>
  </si>
  <si>
    <t xml:space="preserve">TNE-AU</t>
  </si>
  <si>
    <t xml:space="preserve">BABA</t>
  </si>
  <si>
    <t xml:space="preserve">BABA-NYS</t>
  </si>
  <si>
    <t xml:space="preserve">Alibaba Group Holding Ltd. Sponsored ADR</t>
  </si>
  <si>
    <t xml:space="preserve">Retail Trade</t>
  </si>
  <si>
    <t xml:space="preserve">BigTinCan Holdings Ltd. is a software development company. The company focuses on providing enterprise mobility solutions, which enables sales and service organizations to increase sales, reduce expenditures and improve customer satisfaction through mobile worker productivity. Its Bigtincan hub, mobile content engagement platform enables users to securely access and interact with all types of content such as files, documents, PDFs, powerpoint presentations, e-mail, video, RSS fees, forms, media, web content, and share knowledge and expertise across teams, and automate processes across any mobile device or network. The company provides software development services to clients in Australia and U.S. BigTinCan Holdings was founded by David Keane and Geoffrey Cohen in 2011 and is headquartered in Sydney, Australia.</t>
  </si>
  <si>
    <t xml:space="preserve">Develops video distributing software</t>
  </si>
  <si>
    <t xml:space="preserve">NWH</t>
  </si>
  <si>
    <t xml:space="preserve">NWH-AU</t>
  </si>
  <si>
    <t xml:space="preserve">NRW Holdings Limited</t>
  </si>
  <si>
    <t xml:space="preserve">Industrial Services</t>
  </si>
  <si>
    <t xml:space="preserve">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</si>
  <si>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 xml:space="preserve">Engages in property investment and development activities in Australia</t>
  </si>
  <si>
    <t xml:space="preserve">IMD</t>
  </si>
  <si>
    <t xml:space="preserve">IMD-AU</t>
  </si>
  <si>
    <t xml:space="preserve">Imdex Ltd</t>
  </si>
  <si>
    <t xml:space="preserve">Distribution Services</t>
  </si>
  <si>
    <t xml:space="preserve">Electronic Technology</t>
  </si>
  <si>
    <t xml:space="preserve">Electro Optic Systems Holdings Ltd. develops and produces products incorporating advanced electro-optic technologies for the aerospace market. Its products are developed through internal research and development programs based on its core technologies in software, lasers, electronics, optics, gimbals, telescopes and beam directors, optical coatings and precision mechanisms. The company operates its business through the following segments: Defence Systems and Space. The Defence Systems segment develops, manufactures and markets advanced fire control, surveillance and weapon systems to approved military customers. The Space segment involves in surveillance systems. Electro Optic Systems Holdings was founded by Benny Allan Greene in 1983 and is headquartered in Sydney, Australia.</t>
  </si>
  <si>
    <t xml:space="preserve">Develops and produces electro-optic technologies for the aerospace market</t>
  </si>
  <si>
    <t xml:space="preserve">PAN</t>
  </si>
  <si>
    <t xml:space="preserve">PAN-AU</t>
  </si>
  <si>
    <t xml:space="preserve">Panoramic Resources Limited</t>
  </si>
  <si>
    <t xml:space="preserve">Non-Energy Minerals</t>
  </si>
  <si>
    <t xml:space="preserve">Imdex Ltd. engages in the provision of mining equipment, technology, and services. It operates through the AMC and REFLEX brands. The AMC brand deals with drilling fluids, equipment, technologies, and software. The REFLEX brand includes downhole instrumentation, data management and analytical software for geological modelling. The company was founded on December 17, 1980 and is headquartered in Balcatta, Australia.</t>
  </si>
  <si>
    <t xml:space="preserve">Provides drilling fluids to mining industries</t>
  </si>
  <si>
    <t xml:space="preserve">Total</t>
  </si>
  <si>
    <t xml:space="preserve">XLI</t>
  </si>
  <si>
    <t xml:space="preserve">XLI-NYS</t>
  </si>
  <si>
    <t xml:space="preserve">Industrial Select Sector SPDR Fund</t>
  </si>
  <si>
    <t xml:space="preserve">Communications</t>
  </si>
  <si>
    <t xml:space="preserve">MNF Group Ltd. engages in the provision of voice, data, and cloud based communication and communication enablement services. It operates its business through the following segments: Domestic Retail, Domestic Wholesale, and Global Wholesale. The Domestic Retail segment involves in selling directly to residential, small business, enterprise and government customers. The Domestic Wholesale segment include selling to Australian and New Zealand domestic carriers, carriage service providers, cloud providers, and application providers. The Global Wholesale segment focuses in selling to the global carriers, carriage service providers, cloud providers, and application providers. The company was founded by Kam Kan Fung and Rene Sugo in 2004 and is headquartered in Sydney, Australia.</t>
  </si>
  <si>
    <t xml:space="preserve">Provides IP based VoIP, data and video services</t>
  </si>
  <si>
    <t xml:space="preserve">OBL</t>
  </si>
  <si>
    <t xml:space="preserve">OBL-AU</t>
  </si>
  <si>
    <t xml:space="preserve">Omni Bridgeway Ltd</t>
  </si>
  <si>
    <t xml:space="preserve">Commercial Services</t>
  </si>
  <si>
    <t xml:space="preserve">Money3 Corp. Ltd. provides financial services. Its specialization includes the delivery of small cash loans, secured and unsecured personal loans, cheque cashing, equipment and motor vehicle rental. It operates through following segments: Broker, Branch and Online. The Broker segment provides facilities based on the provision of an underlying asset as security, generally referred through a broker. The Branch segment provides services and facilities generally without the provision of an underlying asset as security through the branch network. The Online segment provides facilities without the provision of an underlying asset as security through the internet. The company was founded on November 25, 2005 and is headquartered in Bundoora, Australia.</t>
  </si>
  <si>
    <t xml:space="preserve">Provides credit, personal and car cash loans, cheque cashing, international money transfer and insurance brokerage services</t>
  </si>
  <si>
    <t xml:space="preserve">CAT</t>
  </si>
  <si>
    <t xml:space="preserve">CAT-AU</t>
  </si>
  <si>
    <t xml:space="preserve">Catapult Group International Ltd.</t>
  </si>
  <si>
    <t xml:space="preserve">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</si>
  <si>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 xml:space="preserve">Provides retail financial services, investment banking, and financial market services</t>
  </si>
  <si>
    <t xml:space="preserve">Avg. market cap</t>
  </si>
  <si>
    <t xml:space="preserve">b</t>
  </si>
  <si>
    <t xml:space="preserve">1) Update column BW to make sure ASX stocks have "-AU" after and USA stocks "-NYS" (CAT &amp; XLI are the only 3 letter codes that are NYS)</t>
  </si>
  <si>
    <t xml:space="preserve">Weighting avg. market cap</t>
  </si>
  <si>
    <t xml:space="preserve">2) Click Factset</t>
  </si>
  <si>
    <t xml:space="preserve">Avg. daily value</t>
  </si>
  <si>
    <t xml:space="preserve">m</t>
  </si>
  <si>
    <t xml:space="preserve">Weighting avg. daily liquidity</t>
  </si>
  <si>
    <t xml:space="preserve">3) Click Hardcode</t>
  </si>
  <si>
    <t xml:space="preserve">Avg AU liquidity</t>
  </si>
  <si>
    <t xml:space="preserve">5) Copy data from BX39 &amp; BX41  into columns AW and AY</t>
  </si>
  <si>
    <t xml:space="preserve">Portfolio By Market Cap</t>
  </si>
  <si>
    <t xml:space="preserve">&gt;$10b (84%)</t>
  </si>
  <si>
    <t xml:space="preserve">$1b-$10b (11%)</t>
  </si>
  <si>
    <t xml:space="preserve">$500m-$1b (0%)</t>
  </si>
  <si>
    <t xml:space="preserve">$300m-$500m (0%)</t>
  </si>
  <si>
    <t xml:space="preserve">&lt;$300m (5%)</t>
  </si>
  <si>
    <t xml:space="preserve">300m FUM</t>
  </si>
  <si>
    <t xml:space="preserve">Days to exit</t>
  </si>
  <si>
    <t xml:space="preserve">% exit &lt;2 days</t>
  </si>
  <si>
    <t xml:space="preserve">80% of $300m within two weeks</t>
  </si>
  <si>
    <t xml:space="preserve">INTERACTIVE BROKERS</t>
  </si>
  <si>
    <t xml:space="preserve">Energy</t>
  </si>
  <si>
    <t xml:space="preserve">Financials</t>
  </si>
  <si>
    <t xml:space="preserve">Heathcare</t>
  </si>
  <si>
    <t xml:space="preserve">Software</t>
  </si>
  <si>
    <t xml:space="preserve">Materials</t>
  </si>
  <si>
    <t xml:space="preserve">Resources</t>
  </si>
  <si>
    <t xml:space="preserve">Property</t>
  </si>
  <si>
    <t xml:space="preserve">Telecomm</t>
  </si>
  <si>
    <t xml:space="preserve">Online Retail</t>
  </si>
  <si>
    <t xml:space="preserve">Industrials</t>
  </si>
  <si>
    <t xml:space="preserve">Mining Services</t>
  </si>
  <si>
    <t xml:space="preserve">Technology</t>
  </si>
  <si>
    <t xml:space="preserve">Medical Device</t>
  </si>
  <si>
    <t xml:space="preserve">Defence Construction</t>
  </si>
  <si>
    <t xml:space="preserve">Biotechnology</t>
  </si>
  <si>
    <t xml:space="preserve">Industrial</t>
  </si>
  <si>
    <t xml:space="preserve">Retail</t>
  </si>
  <si>
    <t xml:space="preserve">CAT-NYS</t>
  </si>
  <si>
    <t xml:space="preserve">Infrastrucutre</t>
  </si>
  <si>
    <t xml:space="preserve">SLC-AU</t>
  </si>
  <si>
    <t xml:space="preserve">Infrastructure</t>
  </si>
  <si>
    <t xml:space="preserve">EOS-AU</t>
  </si>
  <si>
    <t xml:space="preserve">Telecommunications</t>
  </si>
  <si>
    <t xml:space="preserve">SLB-NYS</t>
  </si>
  <si>
    <t xml:space="preserve">Online Travel</t>
  </si>
  <si>
    <t xml:space="preserve">ASB-AU</t>
  </si>
  <si>
    <t xml:space="preserve">MNY-AU</t>
  </si>
  <si>
    <t xml:space="preserve">RBL-AU</t>
  </si>
  <si>
    <t xml:space="preserve">Application (client) ID</t>
  </si>
  <si>
    <t xml:space="preserve">dc215c22-a80c-46b0-b50a-732c77fd021b</t>
  </si>
  <si>
    <t xml:space="preserve">Object ID</t>
  </si>
  <si>
    <t xml:space="preserve">22ce0131-c4d7-488d-b246-15cde3001595</t>
  </si>
  <si>
    <t xml:space="preserve">Directory (tenant) ID</t>
  </si>
  <si>
    <t xml:space="preserve">f0837028-4ae9-46d4-92b6-6af72e004b06</t>
  </si>
  <si>
    <t xml:space="preserve">Replitkey</t>
  </si>
  <si>
    <t xml:space="preserve">Value</t>
  </si>
  <si>
    <t xml:space="preserve">HEE8Q~IlIGchCQ8hV5iA7hSmvynxYEv6iMugWcZk</t>
  </si>
  <si>
    <t xml:space="preserve">Secret ID</t>
  </si>
  <si>
    <t xml:space="preserve">e42bec0c-1db7-4cf8-bd4a-bacf61d59529</t>
  </si>
  <si>
    <t xml:space="preserve">CumulativeReturn</t>
  </si>
  <si>
    <t xml:space="preserve">label</t>
  </si>
  <si>
    <t xml:space="preserve">value</t>
  </si>
  <si>
    <t xml:space="preserve">TopHoldingsTable</t>
  </si>
  <si>
    <t xml:space="preserve">Weight</t>
  </si>
  <si>
    <t xml:space="preserve">Rank</t>
  </si>
  <si>
    <t xml:space="preserve">Column1</t>
  </si>
  <si>
    <t xml:space="preserve">Column2</t>
  </si>
  <si>
    <t xml:space="preserve">Column3</t>
  </si>
  <si>
    <t xml:space="preserve">Column4</t>
  </si>
  <si>
    <t xml:space="preserve">Column5</t>
  </si>
  <si>
    <t xml:space="preserve">Column6</t>
  </si>
  <si>
    <t xml:space="preserve">Column7</t>
  </si>
  <si>
    <t xml:space="preserve">Column8</t>
  </si>
  <si>
    <t xml:space="preserve">Column9</t>
  </si>
  <si>
    <t xml:space="preserve">Column10</t>
  </si>
  <si>
    <t xml:space="preserve">Amazon</t>
  </si>
  <si>
    <t xml:space="preserve">key</t>
  </si>
  <si>
    <t xml:space="preserve">name</t>
  </si>
  <si>
    <t xml:space="preserve">labels</t>
  </si>
  <si>
    <t xml:space="preserve">Gross long</t>
  </si>
  <si>
    <t xml:space="preserve">&gt;$10b</t>
  </si>
  <si>
    <t xml:space="preserve">Gross short</t>
  </si>
  <si>
    <t xml:space="preserve">$1b-$10b</t>
  </si>
  <si>
    <t xml:space="preserve">Net</t>
  </si>
  <si>
    <t xml:space="preserve">$500m-$1b</t>
  </si>
  <si>
    <t xml:space="preserve">$300m-$500m</t>
  </si>
  <si>
    <t xml:space="preserve">&lt;$300m</t>
  </si>
  <si>
    <t xml:space="preserve">text</t>
  </si>
  <si>
    <t xml:space="preserve">Strategy </t>
  </si>
  <si>
    <t xml:space="preserve">We run a concentrated, long biased portfolio of 5 to 20 positions, with flexibility to short mainly for hedging and risk management. We focus on quality businesses, sizing positions by conviction and risk reward, cutting losers quickly and letting winners compound. Ideas are sourced through deep fundamental research enhanced by proprietary AI analytics to uncover catalysts, growth themes and market dislocations. The Portfolio Manager is invested alongside clients.</t>
  </si>
  <si>
    <t xml:space="preserve">Hedging</t>
  </si>
  <si>
    <t xml:space="preserve">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t>
  </si>
  <si>
    <t xml:space="preserve">AI Analyst</t>
  </si>
  <si>
    <t xml:space="preserve">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t>
  </si>
  <si>
    <t xml:space="preserve">Risk Management</t>
  </si>
  <si>
    <t xml:space="preserve">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t>
  </si>
</sst>
</file>

<file path=xl/styles.xml><?xml version="1.0" encoding="utf-8"?>
<styleSheet xmlns="http://schemas.openxmlformats.org/spreadsheetml/2006/main">
  <numFmts count="19">
    <numFmt numFmtId="164" formatCode="General"/>
    <numFmt numFmtId="165" formatCode="_-* #,##0.00_-;\-* #,##0.00_-;_-* \-??_-;_-@_-"/>
    <numFmt numFmtId="166" formatCode="_-\$* #,##0.00_-;&quot;-$&quot;* #,##0.00_-;_-\$* \-??_-;_-@_-"/>
    <numFmt numFmtId="167" formatCode="[$-F800]dddd&quot;, &quot;mmmm\ dd&quot;, &quot;yyyy"/>
    <numFmt numFmtId="168" formatCode="0%"/>
    <numFmt numFmtId="169" formatCode="0.0%"/>
    <numFmt numFmtId="170" formatCode="0"/>
    <numFmt numFmtId="171" formatCode="0.00"/>
    <numFmt numFmtId="172" formatCode="dd/mm/yyyy"/>
    <numFmt numFmtId="173" formatCode="dd\ mmm\ yy"/>
    <numFmt numFmtId="174" formatCode="0.0"/>
    <numFmt numFmtId="175" formatCode="_-* #,##0.0_-;\-* #,##0.0_-;_-* \-??_-;_-@_-"/>
    <numFmt numFmtId="176" formatCode="\$###\b"/>
    <numFmt numFmtId="177" formatCode="\$###\m"/>
    <numFmt numFmtId="178" formatCode="_-* #,##0_-;\-* #,##0_-;_-* \-??_-;_-@_-"/>
    <numFmt numFmtId="179" formatCode="0.00%"/>
    <numFmt numFmtId="180" formatCode="0.0;;;"/>
    <numFmt numFmtId="181" formatCode="0;;;"/>
    <numFmt numFmtId="182" formatCode="0%;\-0%;\ "/>
  </numFmts>
  <fonts count="62">
    <font>
      <sz val="11"/>
      <color theme="1"/>
      <name val="Calibri"/>
      <family val="2"/>
      <charset val="1"/>
    </font>
    <font>
      <sz val="10"/>
      <name val="Arial"/>
      <family val="0"/>
    </font>
    <font>
      <sz val="10"/>
      <name val="Arial"/>
      <family val="0"/>
    </font>
    <font>
      <sz val="10"/>
      <name val="Arial"/>
      <family val="0"/>
    </font>
    <font>
      <sz val="10"/>
      <name val="Arial"/>
      <family val="2"/>
      <charset val="1"/>
    </font>
    <font>
      <b val="true"/>
      <sz val="14"/>
      <color rgb="FFAE1E2E"/>
      <name val="HelveticaNeue LT 33 ThinEx"/>
      <family val="0"/>
      <charset val="1"/>
    </font>
    <font>
      <b val="true"/>
      <sz val="11"/>
      <color theme="1"/>
      <name val="Calibri"/>
      <family val="2"/>
      <charset val="1"/>
    </font>
    <font>
      <sz val="11"/>
      <color theme="1"/>
      <name val="Mont"/>
      <family val="0"/>
      <charset val="1"/>
    </font>
    <font>
      <sz val="11"/>
      <name val="Mont"/>
      <family val="0"/>
      <charset val="1"/>
    </font>
    <font>
      <sz val="16"/>
      <name val="Montserrat"/>
      <family val="0"/>
      <charset val="1"/>
    </font>
    <font>
      <sz val="11"/>
      <color theme="0" tint="-0.35"/>
      <name val="Mont"/>
      <family val="0"/>
      <charset val="1"/>
    </font>
    <font>
      <sz val="12"/>
      <name val="Mont"/>
      <family val="0"/>
      <charset val="1"/>
    </font>
    <font>
      <b val="true"/>
      <sz val="15"/>
      <name val="Mont"/>
      <family val="0"/>
      <charset val="1"/>
    </font>
    <font>
      <sz val="15"/>
      <name val="Mont"/>
      <family val="0"/>
      <charset val="1"/>
    </font>
    <font>
      <b val="true"/>
      <sz val="11"/>
      <name val="Mont"/>
      <family val="0"/>
      <charset val="1"/>
    </font>
    <font>
      <sz val="14"/>
      <name val="Montserrat"/>
      <family val="0"/>
      <charset val="1"/>
    </font>
    <font>
      <sz val="14"/>
      <color theme="1"/>
      <name val="Montserrat"/>
      <family val="0"/>
      <charset val="1"/>
    </font>
    <font>
      <sz val="12"/>
      <color rgb="FFAE1E2E"/>
      <name val="HelveticaNeue LT 43 LightEx"/>
      <family val="0"/>
      <charset val="1"/>
    </font>
    <font>
      <sz val="14"/>
      <name val="Mont"/>
      <family val="0"/>
      <charset val="1"/>
    </font>
    <font>
      <sz val="11"/>
      <name val="Montserrat"/>
      <family val="0"/>
      <charset val="1"/>
    </font>
    <font>
      <sz val="11"/>
      <color theme="1"/>
      <name val="Montserrat"/>
      <family val="0"/>
      <charset val="1"/>
    </font>
    <font>
      <sz val="10"/>
      <color theme="1"/>
      <name val="Mont"/>
      <family val="0"/>
      <charset val="1"/>
    </font>
    <font>
      <sz val="12"/>
      <color theme="1"/>
      <name val="Montserrat"/>
      <family val="0"/>
      <charset val="1"/>
    </font>
    <font>
      <sz val="10"/>
      <name val="Mont"/>
      <family val="0"/>
      <charset val="1"/>
    </font>
    <font>
      <sz val="12"/>
      <color rgb="FF404040"/>
      <name val="Montserrat"/>
      <family val="2"/>
    </font>
    <font>
      <sz val="16"/>
      <color rgb="FF595959"/>
      <name val="Aptos"/>
      <family val="2"/>
    </font>
    <font>
      <b val="true"/>
      <sz val="15"/>
      <color rgb="FF000000"/>
      <name val="Aptos"/>
      <family val="2"/>
    </font>
    <font>
      <b val="true"/>
      <sz val="10.5"/>
      <color theme="1"/>
      <name val="Calibri"/>
      <family val="0"/>
    </font>
    <font>
      <sz val="10.5"/>
      <color theme="1"/>
      <name val="Calibri"/>
      <family val="0"/>
    </font>
    <font>
      <b val="true"/>
      <sz val="10.5"/>
      <color rgb="FF000000"/>
      <name val="Calibri"/>
      <family val="0"/>
    </font>
    <font>
      <sz val="10.5"/>
      <color rgb="FF000000"/>
      <name val="Calibri"/>
      <family val="0"/>
    </font>
    <font>
      <sz val="10.5"/>
      <color rgb="FF000000"/>
      <name val="Aptos"/>
      <family val="2"/>
    </font>
    <font>
      <sz val="18"/>
      <color theme="1"/>
      <name val="Calibri"/>
      <family val="0"/>
    </font>
    <font>
      <sz val="16"/>
      <color theme="1"/>
      <name val="HelveticaNeue LT 43 LightEx"/>
      <family val="0"/>
    </font>
    <font>
      <sz val="12"/>
      <color rgb="FF000000"/>
      <name val="Aptos"/>
      <family val="2"/>
    </font>
    <font>
      <sz val="16"/>
      <color rgb="FF000000"/>
      <name val="Montserrat"/>
      <family val="2"/>
    </font>
    <font>
      <sz val="14"/>
      <color rgb="FF000000"/>
      <name val="HelveticaNeue LT 33 ThinEx"/>
      <family val="2"/>
    </font>
    <font>
      <b val="true"/>
      <sz val="22"/>
      <color theme="0"/>
      <name val="Montserrat"/>
      <family val="0"/>
    </font>
    <font>
      <b val="true"/>
      <sz val="11"/>
      <color theme="0"/>
      <name val="Montserrat"/>
      <family val="0"/>
    </font>
    <font>
      <b val="true"/>
      <sz val="15"/>
      <color theme="0"/>
      <name val="Montserrat"/>
      <family val="0"/>
    </font>
    <font>
      <sz val="11"/>
      <color theme="0"/>
      <name val="Montserrat"/>
      <family val="0"/>
    </font>
    <font>
      <b val="true"/>
      <sz val="32"/>
      <color theme="0"/>
      <name val="Montserrat"/>
      <family val="0"/>
    </font>
    <font>
      <b val="true"/>
      <sz val="16"/>
      <color theme="0"/>
      <name val="Montserrat"/>
      <family val="0"/>
    </font>
    <font>
      <b val="true"/>
      <sz val="20.5"/>
      <color theme="0"/>
      <name val="Montserrat"/>
      <family val="0"/>
    </font>
    <font>
      <b val="true"/>
      <sz val="20"/>
      <color theme="0"/>
      <name val="Montserrat"/>
      <family val="0"/>
    </font>
    <font>
      <sz val="14"/>
      <color theme="0"/>
      <name val="Montserrat"/>
      <family val="0"/>
    </font>
    <font>
      <sz val="17"/>
      <color rgb="FF000000"/>
      <name val="Montserrat"/>
      <family val="0"/>
    </font>
    <font>
      <b val="true"/>
      <sz val="15"/>
      <color rgb="FF000000"/>
      <name val="Montserrat"/>
      <family val="0"/>
    </font>
    <font>
      <sz val="10.5"/>
      <color theme="1"/>
      <name val="Montserrat"/>
      <family val="0"/>
    </font>
    <font>
      <b val="true"/>
      <sz val="12"/>
      <color theme="0"/>
      <name val="Arial"/>
      <family val="2"/>
      <charset val="1"/>
    </font>
    <font>
      <sz val="10"/>
      <color theme="0"/>
      <name val="Arial"/>
      <family val="2"/>
      <charset val="1"/>
    </font>
    <font>
      <b val="true"/>
      <sz val="12"/>
      <name val="Arial"/>
      <family val="2"/>
      <charset val="1"/>
    </font>
    <font>
      <sz val="12"/>
      <name val="Arial"/>
      <family val="2"/>
      <charset val="1"/>
    </font>
    <font>
      <sz val="8.8"/>
      <name val="HelveticaNeue LT 33 ThinEx"/>
      <family val="0"/>
      <charset val="1"/>
    </font>
    <font>
      <b val="true"/>
      <sz val="10"/>
      <name val="Arial"/>
      <family val="2"/>
      <charset val="1"/>
    </font>
    <font>
      <sz val="8"/>
      <name val="Arial"/>
      <family val="2"/>
      <charset val="1"/>
    </font>
    <font>
      <sz val="8"/>
      <color theme="1"/>
      <name val="Arial"/>
      <family val="2"/>
      <charset val="1"/>
    </font>
    <font>
      <sz val="11"/>
      <name val="Calibri"/>
      <family val="2"/>
      <charset val="1"/>
    </font>
    <font>
      <sz val="11"/>
      <color theme="0"/>
      <name val="Calibri"/>
      <family val="0"/>
    </font>
    <font>
      <sz val="7"/>
      <color rgb="FF07080A"/>
      <name val="Arial"/>
      <family val="2"/>
      <charset val="1"/>
    </font>
    <font>
      <sz val="7"/>
      <color rgb="FF4B5563"/>
      <name val="Arial"/>
      <family val="2"/>
      <charset val="1"/>
    </font>
    <font>
      <b val="true"/>
      <sz val="18"/>
      <color rgb="FF6B7281"/>
      <name val="Arial"/>
      <family val="2"/>
      <charset val="1"/>
    </font>
  </fonts>
  <fills count="10">
    <fill>
      <patternFill patternType="none"/>
    </fill>
    <fill>
      <patternFill patternType="gray125"/>
    </fill>
    <fill>
      <patternFill patternType="solid">
        <fgColor theme="0"/>
        <bgColor rgb="FFF5F5F5"/>
      </patternFill>
    </fill>
    <fill>
      <patternFill patternType="solid">
        <fgColor rgb="FFF5F5F5"/>
        <bgColor rgb="FFF2F2F2"/>
      </patternFill>
    </fill>
    <fill>
      <patternFill patternType="solid">
        <fgColor theme="0" tint="-0.15"/>
        <bgColor rgb="FFD6D6D6"/>
      </patternFill>
    </fill>
    <fill>
      <patternFill patternType="solid">
        <fgColor theme="3"/>
        <bgColor rgb="FF404040"/>
      </patternFill>
    </fill>
    <fill>
      <patternFill patternType="solid">
        <fgColor theme="5" tint="0.7999"/>
        <bgColor rgb="FFF0E5DA"/>
      </patternFill>
    </fill>
    <fill>
      <patternFill patternType="solid">
        <fgColor theme="4" tint="0.7999"/>
        <bgColor rgb="FFFADDCD"/>
      </patternFill>
    </fill>
    <fill>
      <patternFill patternType="solid">
        <fgColor theme="9" tint="0.7999"/>
        <bgColor rgb="FFE5E7EB"/>
      </patternFill>
    </fill>
    <fill>
      <patternFill patternType="solid">
        <fgColor theme="0" tint="-0.05"/>
        <bgColor rgb="FFF5F5F5"/>
      </patternFill>
    </fill>
  </fills>
  <borders count="4">
    <border diagonalUp="false" diagonalDown="false">
      <left/>
      <right/>
      <top/>
      <bottom/>
      <diagonal/>
    </border>
    <border diagonalUp="false" diagonalDown="false">
      <left style="thin"/>
      <right/>
      <top/>
      <bottom/>
      <diagonal/>
    </border>
    <border diagonalUp="false" diagonalDown="false">
      <left/>
      <right/>
      <top/>
      <bottom style="thin"/>
      <diagonal/>
    </border>
    <border diagonalUp="false" diagonalDown="false">
      <left/>
      <right/>
      <top/>
      <bottom style="medium">
        <color rgb="FFE5E7EB"/>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8" fontId="0" fillId="0" borderId="0" applyFont="true" applyBorder="false" applyAlignment="true" applyProtection="false">
      <alignment horizontal="general" vertical="bottom" textRotation="0" wrapText="false" indent="0" shrinkToFit="false"/>
    </xf>
    <xf numFmtId="165" fontId="0" fillId="0" borderId="0" applyFont="true" applyBorder="false" applyAlignment="true" applyProtection="false">
      <alignment horizontal="general" vertical="bottom" textRotation="0" wrapText="false" indent="0" shrinkToFit="false"/>
    </xf>
    <xf numFmtId="166" fontId="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false" applyAlignment="true" applyProtection="false">
      <alignment horizontal="general" vertical="bottom" textRotation="0" wrapText="false" indent="0" shrinkToFit="false"/>
    </xf>
    <xf numFmtId="164" fontId="5" fillId="2" borderId="0" applyFont="true" applyBorder="true" applyAlignment="true" applyProtection="true">
      <alignment horizontal="left" vertical="center" textRotation="0" wrapText="false" indent="0" shrinkToFit="false"/>
      <protection locked="true" hidden="false"/>
    </xf>
  </cellStyleXfs>
  <cellXfs count="1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left" vertical="bottom" textRotation="0" wrapText="false" indent="2"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9" fontId="8" fillId="2" borderId="0" xfId="19" applyFont="true" applyBorder="true" applyAlignment="true" applyProtection="true">
      <alignment horizontal="general" vertical="bottom" textRotation="0" wrapText="false" indent="0" shrinkToFit="false"/>
      <protection locked="true" hidden="false"/>
    </xf>
    <xf numFmtId="169" fontId="9" fillId="2" borderId="0" xfId="0" applyFont="true" applyBorder="true" applyAlignment="true" applyProtection="false">
      <alignment horizontal="center" vertical="center" textRotation="0" wrapText="false" indent="0" shrinkToFit="false"/>
      <protection locked="true" hidden="false"/>
    </xf>
    <xf numFmtId="169" fontId="9" fillId="2" borderId="0" xfId="0" applyFont="true" applyBorder="false" applyAlignment="true" applyProtection="false">
      <alignment horizontal="general" vertical="center" textRotation="0" wrapText="false" indent="0" shrinkToFit="false"/>
      <protection locked="true" hidden="false"/>
    </xf>
    <xf numFmtId="169" fontId="9" fillId="2" borderId="0" xfId="0" applyFont="true" applyBorder="false" applyAlignment="true" applyProtection="false">
      <alignment horizontal="center" vertical="center" textRotation="0" wrapText="false" indent="0" shrinkToFit="false"/>
      <protection locked="true" hidden="false"/>
    </xf>
    <xf numFmtId="168" fontId="9" fillId="2"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9" fontId="11" fillId="2" borderId="0" xfId="0" applyFont="true" applyBorder="false" applyAlignment="true" applyProtection="false">
      <alignment horizontal="left" vertical="center" textRotation="0" wrapText="false" indent="0" shrinkToFit="false"/>
      <protection locked="true" hidden="false"/>
    </xf>
    <xf numFmtId="169" fontId="11"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general" vertical="center" textRotation="0" wrapText="fals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8" fontId="7" fillId="2" borderId="0" xfId="0" applyFont="true" applyBorder="false" applyAlignment="true" applyProtection="false">
      <alignment horizontal="center" vertical="bottom" textRotation="0" wrapText="false" indent="0" shrinkToFit="false"/>
      <protection locked="true" hidden="false"/>
    </xf>
    <xf numFmtId="168" fontId="7" fillId="2" borderId="0" xfId="0" applyFont="true" applyBorder="false" applyAlignment="true" applyProtection="false">
      <alignment horizontal="left" vertical="bottom" textRotation="0" wrapText="false" indent="0" shrinkToFit="false"/>
      <protection locked="true" hidden="false"/>
    </xf>
    <xf numFmtId="168" fontId="8" fillId="2" borderId="0" xfId="0" applyFont="true" applyBorder="false" applyAlignment="true" applyProtection="false">
      <alignment horizontal="center" vertical="bottom" textRotation="0" wrapText="false" indent="0" shrinkToFit="false"/>
      <protection locked="true" hidden="false"/>
    </xf>
    <xf numFmtId="168" fontId="7"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9"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left" vertical="center" textRotation="0" wrapText="false" indent="0" shrinkToFit="false"/>
      <protection locked="true" hidden="false"/>
    </xf>
    <xf numFmtId="164" fontId="15" fillId="2" borderId="0" xfId="0" applyFont="true" applyBorder="false" applyAlignment="true" applyProtection="false">
      <alignment horizontal="left" vertical="center"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9" fontId="16" fillId="2" borderId="0" xfId="0" applyFont="true" applyBorder="false" applyAlignment="true" applyProtection="false">
      <alignment horizontal="center" vertical="bottom" textRotation="0" wrapText="false" indent="0" shrinkToFit="false"/>
      <protection locked="true" hidden="false"/>
    </xf>
    <xf numFmtId="168" fontId="16" fillId="2" borderId="0" xfId="0" applyFont="true" applyBorder="false" applyAlignment="true" applyProtection="false">
      <alignment horizontal="center" vertical="bottom" textRotation="0" wrapText="false" indent="0" shrinkToFit="false"/>
      <protection locked="true" hidden="false"/>
    </xf>
    <xf numFmtId="167" fontId="17" fillId="2" borderId="0" xfId="23" applyFont="true" applyBorder="false" applyAlignment="true" applyProtection="false">
      <alignment horizontal="general" vertical="center" textRotation="0" wrapText="false" indent="0" shrinkToFit="false"/>
      <protection locked="true" hidden="false"/>
    </xf>
    <xf numFmtId="169" fontId="15" fillId="2" borderId="0" xfId="24" applyFont="true" applyBorder="true" applyAlignment="true" applyProtection="true">
      <alignment horizontal="left" vertical="bottom" textRotation="0" wrapText="false" indent="0" shrinkToFit="false"/>
      <protection locked="true" hidden="false"/>
    </xf>
    <xf numFmtId="170" fontId="16" fillId="2" borderId="0" xfId="0" applyFont="true" applyBorder="false" applyAlignment="true" applyProtection="false">
      <alignment horizontal="center" vertical="bottom" textRotation="0" wrapText="false" indent="0" shrinkToFit="false"/>
      <protection locked="true" hidden="false"/>
    </xf>
    <xf numFmtId="169" fontId="16" fillId="2" borderId="0" xfId="19" applyFont="true" applyBorder="true" applyAlignment="true" applyProtection="true">
      <alignment horizontal="right" vertical="bottom" textRotation="0" wrapText="false" indent="0" shrinkToFit="false"/>
      <protection locked="true" hidden="false"/>
    </xf>
    <xf numFmtId="170" fontId="16"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left" vertical="center" textRotation="0" wrapText="false" indent="0" shrinkToFit="false"/>
      <protection locked="true" hidden="false"/>
    </xf>
    <xf numFmtId="169" fontId="15" fillId="2" borderId="0" xfId="0" applyFont="true" applyBorder="false" applyAlignment="true" applyProtection="false">
      <alignment horizontal="general" vertical="center" textRotation="0" wrapText="false" indent="0" shrinkToFit="false"/>
      <protection locked="true" hidden="false"/>
    </xf>
    <xf numFmtId="168" fontId="15" fillId="2" borderId="0" xfId="0" applyFont="true" applyBorder="false" applyAlignment="true" applyProtection="false">
      <alignment horizontal="center" vertical="bottom" textRotation="0" wrapText="false" indent="0" shrinkToFit="false"/>
      <protection locked="true" hidden="false"/>
    </xf>
    <xf numFmtId="171" fontId="16" fillId="2" borderId="0" xfId="0" applyFont="true" applyBorder="false" applyAlignment="true" applyProtection="false">
      <alignment horizontal="right" vertical="bottom" textRotation="0" wrapText="false" indent="0" shrinkToFit="false"/>
      <protection locked="true" hidden="false"/>
    </xf>
    <xf numFmtId="168" fontId="16" fillId="2" borderId="0" xfId="0" applyFont="true" applyBorder="false" applyAlignment="true" applyProtection="false">
      <alignment horizontal="right" vertical="bottom" textRotation="0" wrapText="false" indent="0" shrinkToFit="false"/>
      <protection locked="true" hidden="false"/>
    </xf>
    <xf numFmtId="169" fontId="18" fillId="2" borderId="0" xfId="0" applyFont="true" applyBorder="false" applyAlignment="true" applyProtection="false">
      <alignment horizontal="left" vertical="center" textRotation="0" wrapText="false" indent="0" shrinkToFit="false"/>
      <protection locked="true" hidden="false"/>
    </xf>
    <xf numFmtId="169" fontId="15" fillId="2" borderId="0" xfId="0" applyFont="true" applyBorder="true" applyAlignment="true" applyProtection="false">
      <alignment horizontal="left" vertical="center" textRotation="0" wrapText="false" indent="0" shrinkToFit="false"/>
      <protection locked="true" hidden="false"/>
    </xf>
    <xf numFmtId="164" fontId="19" fillId="2" borderId="0" xfId="0" applyFont="true" applyBorder="false" applyAlignment="true" applyProtection="false">
      <alignment horizontal="left" vertical="center" textRotation="0" wrapText="false" indent="0" shrinkToFit="false"/>
      <protection locked="true" hidden="false"/>
    </xf>
    <xf numFmtId="164" fontId="20" fillId="2" borderId="0" xfId="0" applyFont="true" applyBorder="false" applyAlignment="fals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center" vertical="center" textRotation="0" wrapText="false" indent="0" shrinkToFit="false"/>
      <protection locked="true" hidden="false"/>
    </xf>
    <xf numFmtId="164" fontId="21"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bottom" textRotation="0" wrapText="false" indent="0" shrinkToFit="false"/>
      <protection locked="true" hidden="false"/>
    </xf>
    <xf numFmtId="164" fontId="15" fillId="2" borderId="0" xfId="0" applyFont="true" applyBorder="false" applyAlignment="false" applyProtection="false">
      <alignment horizontal="general" vertical="bottom" textRotation="0" wrapText="false" indent="0" shrinkToFit="false"/>
      <protection locked="true" hidden="false"/>
    </xf>
    <xf numFmtId="168" fontId="22" fillId="2" borderId="0" xfId="0" applyFont="true" applyBorder="false" applyAlignment="true" applyProtection="false">
      <alignment horizontal="right" vertical="bottom" textRotation="0" wrapText="false" indent="0" shrinkToFit="false"/>
      <protection locked="true" hidden="false"/>
    </xf>
    <xf numFmtId="164" fontId="23"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7" fontId="4" fillId="0" borderId="0" xfId="23" applyFont="true" applyBorder="false" applyAlignment="false" applyProtection="false">
      <alignment horizontal="general" vertical="bottom" textRotation="0" wrapText="false" indent="0" shrinkToFit="false"/>
      <protection locked="true" hidden="false"/>
    </xf>
    <xf numFmtId="164" fontId="4" fillId="0" borderId="0" xfId="23" applyFont="true" applyBorder="false" applyAlignment="false" applyProtection="false">
      <alignment horizontal="general" vertical="bottom" textRotation="0" wrapText="false" indent="0" shrinkToFit="false"/>
      <protection locked="true" hidden="false"/>
    </xf>
    <xf numFmtId="167" fontId="4" fillId="0" borderId="0" xfId="23" applyFont="true" applyBorder="false" applyAlignment="true" applyProtection="false">
      <alignment horizontal="center" vertical="bottom" textRotation="0" wrapText="false" indent="0" shrinkToFit="false"/>
      <protection locked="true" hidden="false"/>
    </xf>
    <xf numFmtId="167" fontId="4" fillId="4" borderId="0" xfId="23" applyFont="true" applyBorder="false" applyAlignment="true" applyProtection="false">
      <alignment horizontal="center" vertical="bottom" textRotation="0" wrapText="false" indent="0" shrinkToFit="false"/>
      <protection locked="true" hidden="false"/>
    </xf>
    <xf numFmtId="167" fontId="4" fillId="4" borderId="0" xfId="23" applyFont="true" applyBorder="false" applyAlignment="false" applyProtection="false">
      <alignment horizontal="general" vertical="bottom" textRotation="0" wrapText="false" indent="0" shrinkToFit="false"/>
      <protection locked="true" hidden="false"/>
    </xf>
    <xf numFmtId="167" fontId="4" fillId="0" borderId="1" xfId="23" applyFont="true" applyBorder="true" applyAlignment="true" applyProtection="false">
      <alignment horizontal="center" vertical="bottom" textRotation="0" wrapText="false" indent="0" shrinkToFit="false"/>
      <protection locked="true" hidden="false"/>
    </xf>
    <xf numFmtId="167" fontId="4" fillId="0" borderId="0" xfId="23" applyFont="true" applyBorder="false" applyAlignment="true" applyProtection="false">
      <alignment horizontal="center" vertical="center" textRotation="0" wrapText="false" indent="0" shrinkToFit="false"/>
      <protection locked="true" hidden="false"/>
    </xf>
    <xf numFmtId="167" fontId="4" fillId="0" borderId="1" xfId="23" applyFont="true" applyBorder="true" applyAlignment="false" applyProtection="false">
      <alignment horizontal="general" vertical="bottom" textRotation="0" wrapText="false" indent="0" shrinkToFit="false"/>
      <protection locked="true" hidden="false"/>
    </xf>
    <xf numFmtId="168" fontId="0" fillId="0" borderId="0" xfId="24" applyFont="true" applyBorder="true" applyAlignment="true" applyProtection="true">
      <alignment horizontal="center" vertical="bottom" textRotation="0" wrapText="false" indent="0" shrinkToFit="false"/>
      <protection locked="true" hidden="false"/>
    </xf>
    <xf numFmtId="167" fontId="49" fillId="5" borderId="0" xfId="23" applyFont="true" applyBorder="false" applyAlignment="true" applyProtection="false">
      <alignment horizontal="center" vertical="center" textRotation="0" wrapText="false" indent="0" shrinkToFit="false"/>
      <protection locked="true" hidden="false"/>
    </xf>
    <xf numFmtId="164" fontId="49" fillId="5" borderId="0" xfId="23" applyFont="true" applyBorder="false" applyAlignment="true" applyProtection="false">
      <alignment horizontal="center" vertical="center" textRotation="0" wrapText="false" indent="0" shrinkToFit="false"/>
      <protection locked="true" hidden="false"/>
    </xf>
    <xf numFmtId="167" fontId="49" fillId="5" borderId="0" xfId="23" applyFont="true" applyBorder="true" applyAlignment="true" applyProtection="false">
      <alignment horizontal="center" vertical="center" textRotation="0" wrapText="true" indent="0" shrinkToFit="false"/>
      <protection locked="true" hidden="false"/>
    </xf>
    <xf numFmtId="167" fontId="49" fillId="5" borderId="0" xfId="23" applyFont="true" applyBorder="false" applyAlignment="true" applyProtection="false">
      <alignment horizontal="center" vertical="center" textRotation="0" wrapText="true" indent="0" shrinkToFit="false"/>
      <protection locked="true" hidden="false"/>
    </xf>
    <xf numFmtId="167" fontId="50" fillId="5" borderId="0" xfId="23" applyFont="true" applyBorder="false" applyAlignment="true" applyProtection="false">
      <alignment horizontal="center" vertical="bottom" textRotation="0" wrapText="false" indent="0" shrinkToFit="false"/>
      <protection locked="true" hidden="false"/>
    </xf>
    <xf numFmtId="172" fontId="50" fillId="5" borderId="0" xfId="23" applyFont="true" applyBorder="true" applyAlignment="true" applyProtection="false">
      <alignment horizontal="center" vertical="center" textRotation="0" wrapText="false" indent="0" shrinkToFit="false"/>
      <protection locked="true" hidden="false"/>
    </xf>
    <xf numFmtId="167" fontId="50" fillId="5" borderId="0" xfId="23" applyFont="true" applyBorder="false" applyAlignment="false" applyProtection="false">
      <alignment horizontal="general" vertical="bottom" textRotation="0" wrapText="false" indent="0" shrinkToFit="false"/>
      <protection locked="true" hidden="false"/>
    </xf>
    <xf numFmtId="168" fontId="50" fillId="5" borderId="0" xfId="24" applyFont="true" applyBorder="true" applyAlignment="true" applyProtection="true">
      <alignment horizontal="center" vertical="bottom" textRotation="0" wrapText="false" indent="0" shrinkToFit="false"/>
      <protection locked="true" hidden="false"/>
    </xf>
    <xf numFmtId="167" fontId="49" fillId="5" borderId="2" xfId="23" applyFont="true" applyBorder="true" applyAlignment="true" applyProtection="false">
      <alignment horizontal="center" vertical="center" textRotation="0" wrapText="false" indent="0" shrinkToFit="false"/>
      <protection locked="true" hidden="false"/>
    </xf>
    <xf numFmtId="164" fontId="49" fillId="5" borderId="2" xfId="23" applyFont="true" applyBorder="true" applyAlignment="true" applyProtection="false">
      <alignment horizontal="center" vertical="center" textRotation="0" wrapText="false" indent="0" shrinkToFit="false"/>
      <protection locked="true" hidden="false"/>
    </xf>
    <xf numFmtId="167" fontId="49" fillId="5" borderId="2" xfId="23" applyFont="true" applyBorder="true" applyAlignment="true" applyProtection="false">
      <alignment horizontal="center" vertical="center" textRotation="0" wrapText="true" indent="0" shrinkToFit="false"/>
      <protection locked="true" hidden="false"/>
    </xf>
    <xf numFmtId="172" fontId="50" fillId="5" borderId="1" xfId="23" applyFont="true" applyBorder="true" applyAlignment="true" applyProtection="false">
      <alignment horizontal="center" vertical="center" textRotation="0" wrapText="false" indent="0" shrinkToFit="false"/>
      <protection locked="true" hidden="false"/>
    </xf>
    <xf numFmtId="173" fontId="51" fillId="0" borderId="1" xfId="23" applyFont="true" applyBorder="true" applyAlignment="true" applyProtection="false">
      <alignment horizontal="center" vertical="center" textRotation="0" wrapText="false" indent="0" shrinkToFit="false"/>
      <protection locked="true" hidden="false"/>
    </xf>
    <xf numFmtId="171" fontId="52" fillId="0" borderId="0" xfId="15" applyFont="true" applyBorder="true" applyAlignment="true" applyProtection="true">
      <alignment horizontal="general" vertical="center" textRotation="0" wrapText="false" indent="0" shrinkToFit="false"/>
      <protection locked="true" hidden="false"/>
    </xf>
    <xf numFmtId="169" fontId="52" fillId="0" borderId="0" xfId="24" applyFont="true" applyBorder="true" applyAlignment="true" applyProtection="true">
      <alignment horizontal="center" vertical="center" textRotation="0" wrapText="false" indent="0" shrinkToFit="false"/>
      <protection locked="true" hidden="false"/>
    </xf>
    <xf numFmtId="168" fontId="52" fillId="0" borderId="0" xfId="24" applyFont="true" applyBorder="true" applyAlignment="true" applyProtection="true">
      <alignment horizontal="center" vertical="center" textRotation="0" wrapText="false" indent="0" shrinkToFit="false"/>
      <protection locked="true" hidden="false"/>
    </xf>
    <xf numFmtId="174" fontId="52" fillId="0" borderId="0" xfId="24" applyFont="true" applyBorder="true" applyAlignment="true" applyProtection="true">
      <alignment horizontal="center" vertical="center" textRotation="0" wrapText="false" indent="0" shrinkToFit="false"/>
      <protection locked="true" hidden="false"/>
    </xf>
    <xf numFmtId="164" fontId="52" fillId="0" borderId="0" xfId="24" applyFont="true" applyBorder="true" applyAlignment="true" applyProtection="true">
      <alignment horizontal="center" vertical="center" textRotation="0" wrapText="false" indent="0" shrinkToFit="false"/>
      <protection locked="true" hidden="false"/>
    </xf>
    <xf numFmtId="175" fontId="52" fillId="0" borderId="0" xfId="20" applyFont="true" applyBorder="true" applyAlignment="true" applyProtection="true">
      <alignment horizontal="center" vertical="center" textRotation="0" wrapText="false" indent="0" shrinkToFit="false"/>
      <protection locked="true" hidden="false"/>
    </xf>
    <xf numFmtId="176" fontId="52" fillId="4" borderId="0" xfId="20" applyFont="true" applyBorder="true" applyAlignment="true" applyProtection="true">
      <alignment horizontal="center" vertical="center" textRotation="0" wrapText="false" indent="0" shrinkToFit="false"/>
      <protection locked="true" hidden="false"/>
    </xf>
    <xf numFmtId="170" fontId="52" fillId="4" borderId="0" xfId="24" applyFont="true" applyBorder="true" applyAlignment="true" applyProtection="true">
      <alignment horizontal="center" vertical="center" textRotation="0" wrapText="false" indent="0" shrinkToFit="false"/>
      <protection locked="true" hidden="false"/>
    </xf>
    <xf numFmtId="177" fontId="52" fillId="4" borderId="0" xfId="20" applyFont="true" applyBorder="true" applyAlignment="true" applyProtection="true">
      <alignment horizontal="center" vertical="center" textRotation="0" wrapText="false" indent="0" shrinkToFit="false"/>
      <protection locked="true" hidden="false"/>
    </xf>
    <xf numFmtId="170" fontId="52" fillId="0" borderId="0" xfId="24" applyFont="true" applyBorder="true" applyAlignment="true" applyProtection="true">
      <alignment horizontal="center" vertical="center" textRotation="0" wrapText="false" indent="0" shrinkToFit="false"/>
      <protection locked="true" hidden="false"/>
    </xf>
    <xf numFmtId="178" fontId="52" fillId="0" borderId="0" xfId="20" applyFont="true" applyBorder="true" applyAlignment="true" applyProtection="true">
      <alignment horizontal="center" vertical="center" textRotation="0" wrapText="false" indent="0" shrinkToFit="false"/>
      <protection locked="true" hidden="false"/>
    </xf>
    <xf numFmtId="170" fontId="52" fillId="0" borderId="0" xfId="20" applyFont="true" applyBorder="true" applyAlignment="true" applyProtection="true">
      <alignment horizontal="center" vertical="center" textRotation="0" wrapText="false" indent="0" shrinkToFit="false"/>
      <protection locked="true" hidden="false"/>
    </xf>
    <xf numFmtId="167" fontId="53" fillId="0" borderId="0" xfId="23" applyFont="true" applyBorder="false" applyAlignment="true" applyProtection="false">
      <alignment horizontal="left" vertical="bottom" textRotation="0" wrapText="false" indent="0" shrinkToFit="false"/>
      <protection locked="true" hidden="false"/>
    </xf>
    <xf numFmtId="168" fontId="53" fillId="0" borderId="0" xfId="24" applyFont="true" applyBorder="true" applyAlignment="true" applyProtection="true">
      <alignment horizontal="center" vertical="bottom" textRotation="0" wrapText="false" indent="0" shrinkToFit="false"/>
      <protection locked="true" hidden="false"/>
    </xf>
    <xf numFmtId="171" fontId="4" fillId="0" borderId="0" xfId="17" applyFont="true" applyBorder="true" applyAlignment="true" applyProtection="true">
      <alignment horizontal="center" vertical="bottom" textRotation="0" wrapText="false" indent="0" shrinkToFit="false"/>
      <protection locked="true" hidden="false"/>
    </xf>
    <xf numFmtId="170" fontId="4" fillId="0" borderId="0" xfId="23" applyFont="true" applyBorder="false" applyAlignment="true" applyProtection="false">
      <alignment horizontal="center" vertical="bottom" textRotation="0" wrapText="false" indent="0" shrinkToFit="false"/>
      <protection locked="true" hidden="false"/>
    </xf>
    <xf numFmtId="171" fontId="54" fillId="2" borderId="1" xfId="23" applyFont="true" applyBorder="true" applyAlignment="true" applyProtection="false">
      <alignment horizontal="center" vertical="bottom" textRotation="0" wrapText="false" indent="0" shrinkToFit="false"/>
      <protection locked="true" hidden="false"/>
    </xf>
    <xf numFmtId="167" fontId="4" fillId="6" borderId="0" xfId="23" applyFont="true" applyBorder="false" applyAlignment="true" applyProtection="false">
      <alignment horizontal="left" vertical="bottom" textRotation="0" wrapText="false" indent="0" shrinkToFit="false"/>
      <protection locked="true" hidden="false"/>
    </xf>
    <xf numFmtId="165" fontId="54" fillId="2" borderId="0" xfId="20" applyFont="true" applyBorder="true" applyAlignment="true" applyProtection="true">
      <alignment horizontal="center" vertical="bottom" textRotation="0" wrapText="false" indent="0" shrinkToFit="false"/>
      <protection locked="true" hidden="false"/>
    </xf>
    <xf numFmtId="165" fontId="0" fillId="7" borderId="0" xfId="20" applyFont="true" applyBorder="true" applyAlignment="true" applyProtection="true">
      <alignment horizontal="center" vertical="bottom" textRotation="0" wrapText="false" indent="0" shrinkToFit="false"/>
      <protection locked="true" hidden="false"/>
    </xf>
    <xf numFmtId="171" fontId="0" fillId="7" borderId="0" xfId="20" applyFont="true" applyBorder="true" applyAlignment="true" applyProtection="true">
      <alignment horizontal="center" vertical="bottom" textRotation="0" wrapText="false" indent="0" shrinkToFit="false"/>
      <protection locked="true" hidden="false"/>
    </xf>
    <xf numFmtId="167" fontId="4" fillId="0" borderId="0" xfId="23" applyFont="true" applyBorder="false" applyAlignment="true" applyProtection="false">
      <alignment horizontal="left" vertical="bottom" textRotation="0" wrapText="false" indent="0" shrinkToFit="false"/>
      <protection locked="true" hidden="false"/>
    </xf>
    <xf numFmtId="167" fontId="4" fillId="8" borderId="0" xfId="23" applyFont="true" applyBorder="false" applyAlignment="true" applyProtection="false">
      <alignment horizontal="left" vertical="bottom" textRotation="0" wrapText="false" indent="0" shrinkToFit="false"/>
      <protection locked="true" hidden="false"/>
    </xf>
    <xf numFmtId="179" fontId="0" fillId="8" borderId="0" xfId="24" applyFont="true" applyBorder="true" applyAlignment="true" applyProtection="true">
      <alignment horizontal="left" vertical="bottom" textRotation="0" wrapText="false" indent="0" shrinkToFit="false"/>
      <protection locked="true" hidden="false"/>
    </xf>
    <xf numFmtId="178" fontId="0" fillId="8" borderId="0" xfId="20" applyFont="true" applyBorder="true" applyAlignment="true" applyProtection="true">
      <alignment horizontal="left" vertical="bottom" textRotation="0" wrapText="false" indent="0" shrinkToFit="false"/>
      <protection locked="true" hidden="false"/>
    </xf>
    <xf numFmtId="171" fontId="0" fillId="8" borderId="0" xfId="20" applyFont="true" applyBorder="true" applyAlignment="true" applyProtection="true">
      <alignment horizontal="center" vertical="bottom" textRotation="0" wrapText="false" indent="0" shrinkToFit="false"/>
      <protection locked="true" hidden="false"/>
    </xf>
    <xf numFmtId="165" fontId="0" fillId="8" borderId="0" xfId="20" applyFont="true" applyBorder="true" applyAlignment="true" applyProtection="true">
      <alignment horizontal="left" vertical="bottom" textRotation="0" wrapText="false" indent="0" shrinkToFit="false"/>
      <protection locked="true" hidden="false"/>
    </xf>
    <xf numFmtId="178" fontId="0" fillId="8" borderId="0" xfId="20" applyFont="true" applyBorder="true" applyAlignment="true" applyProtection="true">
      <alignment horizontal="general" vertical="bottom" textRotation="0" wrapText="false" indent="0" shrinkToFit="false"/>
      <protection locked="true" hidden="false"/>
    </xf>
    <xf numFmtId="175" fontId="0" fillId="8" borderId="0" xfId="20" applyFont="true" applyBorder="true" applyAlignment="true" applyProtection="true">
      <alignment horizontal="general" vertical="bottom" textRotation="0" wrapText="false" indent="0" shrinkToFit="false"/>
      <protection locked="true" hidden="false"/>
    </xf>
    <xf numFmtId="168" fontId="0" fillId="0" borderId="0" xfId="24" applyFont="true" applyBorder="true" applyAlignment="true" applyProtection="true">
      <alignment horizontal="general" vertical="bottom" textRotation="0" wrapText="false" indent="0" shrinkToFit="false"/>
      <protection locked="true" hidden="false"/>
    </xf>
    <xf numFmtId="165" fontId="0" fillId="0" borderId="0" xfId="20" applyFont="true" applyBorder="true" applyAlignment="true" applyProtection="true">
      <alignment horizontal="general" vertical="bottom" textRotation="0" wrapText="false" indent="0" shrinkToFit="false"/>
      <protection locked="true" hidden="false"/>
    </xf>
    <xf numFmtId="178" fontId="0" fillId="0" borderId="1" xfId="20" applyFont="true" applyBorder="true" applyAlignment="true" applyProtection="true">
      <alignment horizontal="center" vertical="bottom" textRotation="0" wrapText="false" indent="0" shrinkToFit="false"/>
      <protection locked="true" hidden="false"/>
    </xf>
    <xf numFmtId="170" fontId="4" fillId="0" borderId="1" xfId="23" applyFont="true" applyBorder="true" applyAlignment="true" applyProtection="false">
      <alignment horizontal="left" vertical="bottom" textRotation="0" wrapText="false" indent="0" shrinkToFit="false"/>
      <protection locked="true" hidden="false"/>
    </xf>
    <xf numFmtId="170" fontId="4" fillId="0" borderId="0" xfId="23" applyFont="true" applyBorder="false" applyAlignment="false" applyProtection="false">
      <alignment horizontal="general" vertical="bottom" textRotation="0" wrapText="false" indent="0" shrinkToFit="false"/>
      <protection locked="true" hidden="false"/>
    </xf>
    <xf numFmtId="180" fontId="55" fillId="2" borderId="1" xfId="23" applyFont="true" applyBorder="true" applyAlignment="true" applyProtection="false">
      <alignment horizontal="center" vertical="center" textRotation="0" wrapText="false" indent="0" shrinkToFit="false"/>
      <protection locked="true" hidden="false"/>
    </xf>
    <xf numFmtId="180" fontId="55" fillId="2" borderId="0" xfId="23" applyFont="true" applyBorder="false" applyAlignment="true" applyProtection="false">
      <alignment horizontal="center" vertical="center" textRotation="0" wrapText="false" indent="0" shrinkToFit="false"/>
      <protection locked="true" hidden="false"/>
    </xf>
    <xf numFmtId="168" fontId="56" fillId="2" borderId="0" xfId="24" applyFont="true" applyBorder="true" applyAlignment="true" applyProtection="true">
      <alignment horizontal="general" vertical="center" textRotation="0" wrapText="false" indent="0" shrinkToFit="false"/>
      <protection locked="true" hidden="false"/>
    </xf>
    <xf numFmtId="181" fontId="55" fillId="2" borderId="0" xfId="23" applyFont="true" applyBorder="false" applyAlignment="true" applyProtection="false">
      <alignment horizontal="center" vertical="center" textRotation="0" wrapText="false" indent="0" shrinkToFit="false"/>
      <protection locked="true" hidden="false"/>
    </xf>
    <xf numFmtId="182" fontId="55" fillId="2" borderId="0" xfId="24" applyFont="true" applyBorder="true" applyAlignment="true" applyProtection="true">
      <alignment horizontal="center" vertical="center" textRotation="0" wrapText="false" indent="0" shrinkToFit="false"/>
      <protection locked="true" hidden="false"/>
    </xf>
    <xf numFmtId="168" fontId="55" fillId="2" borderId="0" xfId="24" applyFont="true" applyBorder="true" applyAlignment="true" applyProtection="true">
      <alignment horizontal="center" vertical="center" textRotation="0" wrapText="false" indent="0" shrinkToFit="false"/>
      <protection locked="true" hidden="false"/>
    </xf>
    <xf numFmtId="168" fontId="56" fillId="2" borderId="0" xfId="24" applyFont="true" applyBorder="true" applyAlignment="true" applyProtection="true">
      <alignment horizontal="center" vertical="center" textRotation="0" wrapText="false" indent="0" shrinkToFit="false"/>
      <protection locked="true" hidden="false"/>
    </xf>
    <xf numFmtId="168" fontId="52" fillId="0" borderId="0" xfId="19" applyFont="true" applyBorder="true" applyAlignment="true" applyProtection="true">
      <alignment horizontal="center" vertical="center" textRotation="0" wrapText="false" indent="0" shrinkToFit="false"/>
      <protection locked="true" hidden="false"/>
    </xf>
    <xf numFmtId="178" fontId="0" fillId="0" borderId="0" xfId="20" applyFont="true" applyBorder="true" applyAlignment="true" applyProtection="true">
      <alignment horizontal="left" vertical="bottom" textRotation="0" wrapText="false" indent="0" shrinkToFit="false"/>
      <protection locked="true" hidden="false"/>
    </xf>
    <xf numFmtId="169" fontId="53" fillId="0" borderId="0" xfId="24" applyFont="true" applyBorder="true" applyAlignment="true" applyProtection="true">
      <alignment horizontal="center" vertical="bottom" textRotation="0" wrapText="false" indent="0" shrinkToFit="false"/>
      <protection locked="true" hidden="false"/>
    </xf>
    <xf numFmtId="171" fontId="0" fillId="0" borderId="0" xfId="17" applyFont="true" applyBorder="true" applyAlignment="true" applyProtection="true">
      <alignment horizontal="center" vertical="bottom" textRotation="0" wrapText="false" indent="0" shrinkToFit="false"/>
      <protection locked="true" hidden="false"/>
    </xf>
    <xf numFmtId="170" fontId="4" fillId="0" borderId="1" xfId="23" applyFont="true" applyBorder="true" applyAlignment="true" applyProtection="false">
      <alignment horizontal="center" vertical="bottom" textRotation="0" wrapText="false" indent="0" shrinkToFit="false"/>
      <protection locked="true" hidden="false"/>
    </xf>
    <xf numFmtId="164" fontId="51" fillId="0" borderId="0" xfId="23" applyFont="true" applyBorder="false" applyAlignment="true" applyProtection="false">
      <alignment horizontal="center" vertical="center" textRotation="0" wrapText="false" indent="0" shrinkToFit="false"/>
      <protection locked="true" hidden="false"/>
    </xf>
    <xf numFmtId="179" fontId="52" fillId="0" borderId="0" xfId="24" applyFont="true" applyBorder="true" applyAlignment="true" applyProtection="true">
      <alignment horizontal="center" vertical="center" textRotation="0" wrapText="false" indent="0" shrinkToFit="false"/>
      <protection locked="true" hidden="false"/>
    </xf>
    <xf numFmtId="167" fontId="4" fillId="8" borderId="0" xfId="23" applyFont="true" applyBorder="false" applyAlignment="false" applyProtection="false">
      <alignment horizontal="general" vertical="bottom" textRotation="0" wrapText="false" indent="0" shrinkToFit="false"/>
      <protection locked="true" hidden="false"/>
    </xf>
    <xf numFmtId="169" fontId="4" fillId="0" borderId="0" xfId="24" applyFont="true" applyBorder="true" applyAlignment="true" applyProtection="true">
      <alignment horizontal="center" vertical="bottom" textRotation="0" wrapText="false" indent="0" shrinkToFit="false"/>
      <protection locked="true" hidden="false"/>
    </xf>
    <xf numFmtId="166" fontId="0" fillId="0" borderId="0" xfId="21" applyFont="true" applyBorder="true" applyAlignment="true" applyProtection="true">
      <alignment horizontal="general" vertical="bottom" textRotation="0" wrapText="false" indent="0" shrinkToFit="false"/>
      <protection locked="true" hidden="false"/>
    </xf>
    <xf numFmtId="168" fontId="4" fillId="0" borderId="0" xfId="23" applyFont="true" applyBorder="false" applyAlignment="false" applyProtection="false">
      <alignment horizontal="general" vertical="bottom" textRotation="0" wrapText="false" indent="0" shrinkToFit="false"/>
      <protection locked="true" hidden="false"/>
    </xf>
    <xf numFmtId="178" fontId="0" fillId="4" borderId="0" xfId="20" applyFont="true" applyBorder="true" applyAlignment="true" applyProtection="true">
      <alignment horizontal="general" vertical="bottom" textRotation="0" wrapText="false" indent="0" shrinkToFit="false"/>
      <protection locked="true" hidden="false"/>
    </xf>
    <xf numFmtId="178" fontId="0" fillId="0" borderId="0" xfId="20" applyFont="true" applyBorder="true" applyAlignment="true" applyProtection="true">
      <alignment horizontal="general" vertical="bottom" textRotation="0" wrapText="false" indent="0" shrinkToFit="false"/>
      <protection locked="true" hidden="false"/>
    </xf>
    <xf numFmtId="175" fontId="0" fillId="8" borderId="0" xfId="20" applyFont="true" applyBorder="true" applyAlignment="true" applyProtection="true">
      <alignment horizontal="left" vertical="bottom" textRotation="0" wrapText="false" indent="0" shrinkToFit="false"/>
      <protection locked="true" hidden="false"/>
    </xf>
    <xf numFmtId="178" fontId="0" fillId="0" borderId="0" xfId="20" applyFont="true" applyBorder="true" applyAlignment="true" applyProtection="true">
      <alignment horizontal="center" vertical="bottom" textRotation="0" wrapText="false" indent="0" shrinkToFit="false"/>
      <protection locked="true" hidden="false"/>
    </xf>
    <xf numFmtId="167" fontId="54" fillId="2" borderId="0" xfId="23" applyFont="true" applyBorder="false" applyAlignment="false" applyProtection="false">
      <alignment horizontal="general" vertical="bottom" textRotation="0" wrapText="false" indent="0" shrinkToFit="false"/>
      <protection locked="true" hidden="false"/>
    </xf>
    <xf numFmtId="167" fontId="54" fillId="7" borderId="0" xfId="23" applyFont="true" applyBorder="true" applyAlignment="true" applyProtection="false">
      <alignment horizontal="center" vertical="bottom" textRotation="0" wrapText="false" indent="0" shrinkToFit="false"/>
      <protection locked="true" hidden="false"/>
    </xf>
    <xf numFmtId="167" fontId="54" fillId="0" borderId="0" xfId="23" applyFont="true" applyBorder="false" applyAlignment="false" applyProtection="false">
      <alignment horizontal="general" vertical="bottom" textRotation="0" wrapText="false" indent="0" shrinkToFit="false"/>
      <protection locked="true" hidden="false"/>
    </xf>
    <xf numFmtId="167" fontId="54" fillId="8" borderId="0" xfId="23" applyFont="true" applyBorder="true" applyAlignment="true" applyProtection="false">
      <alignment horizontal="center" vertical="bottom" textRotation="0" wrapText="false" indent="0" shrinkToFit="false"/>
      <protection locked="true" hidden="false"/>
    </xf>
    <xf numFmtId="169" fontId="4" fillId="0" borderId="0" xfId="24" applyFont="true" applyBorder="true" applyAlignment="true" applyProtection="true">
      <alignment horizontal="left" vertical="bottom" textRotation="0" wrapText="false" indent="0" shrinkToFit="false"/>
      <protection locked="true" hidden="false"/>
    </xf>
    <xf numFmtId="169" fontId="0" fillId="0" borderId="0" xfId="24"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7" fontId="4" fillId="2" borderId="1" xfId="23" applyFont="true" applyBorder="true" applyAlignment="false" applyProtection="false">
      <alignment horizontal="general" vertical="bottom" textRotation="0" wrapText="false" indent="0" shrinkToFit="false"/>
      <protection locked="true" hidden="false"/>
    </xf>
    <xf numFmtId="167" fontId="57" fillId="2" borderId="0" xfId="23" applyFont="true" applyBorder="false" applyAlignment="false" applyProtection="false">
      <alignment horizontal="general" vertical="bottom" textRotation="0" wrapText="false" indent="0" shrinkToFit="false"/>
      <protection locked="true" hidden="false"/>
    </xf>
    <xf numFmtId="178" fontId="57" fillId="2" borderId="0" xfId="20" applyFont="true" applyBorder="true" applyAlignment="true" applyProtection="true">
      <alignment horizontal="general" vertical="center" textRotation="0" wrapText="false" indent="0" shrinkToFit="false"/>
      <protection locked="true" hidden="false"/>
    </xf>
    <xf numFmtId="167" fontId="57" fillId="0" borderId="0" xfId="23" applyFont="true" applyBorder="false" applyAlignment="true" applyProtection="false">
      <alignment horizontal="left" vertical="bottom" textRotation="0" wrapText="false" indent="0" shrinkToFit="false"/>
      <protection locked="true" hidden="false"/>
    </xf>
    <xf numFmtId="167" fontId="4" fillId="0" borderId="0" xfId="23" applyFont="true" applyBorder="false" applyAlignment="true" applyProtection="false">
      <alignment horizontal="left" vertical="center" textRotation="0" wrapText="false" indent="0" shrinkToFit="false"/>
      <protection locked="true" hidden="false"/>
    </xf>
    <xf numFmtId="167" fontId="4" fillId="7" borderId="1" xfId="23" applyFont="true" applyBorder="true" applyAlignment="false" applyProtection="false">
      <alignment horizontal="general" vertical="bottom" textRotation="0" wrapText="false" indent="0" shrinkToFit="false"/>
      <protection locked="true" hidden="false"/>
    </xf>
    <xf numFmtId="167" fontId="4" fillId="7" borderId="0" xfId="23" applyFont="true" applyBorder="false" applyAlignment="true" applyProtection="false">
      <alignment horizontal="left" vertical="bottom" textRotation="0" wrapText="false" indent="0" shrinkToFit="false"/>
      <protection locked="true" hidden="false"/>
    </xf>
    <xf numFmtId="178" fontId="57" fillId="7" borderId="0" xfId="20" applyFont="true" applyBorder="true" applyAlignment="true" applyProtection="true">
      <alignment horizontal="general" vertical="center" textRotation="0" wrapText="false" indent="0" shrinkToFit="false"/>
      <protection locked="true" hidden="false"/>
    </xf>
    <xf numFmtId="167" fontId="4" fillId="2" borderId="0" xfId="23" applyFont="true" applyBorder="false" applyAlignment="true" applyProtection="false">
      <alignment horizontal="left" vertical="bottom" textRotation="0" wrapText="false" indent="0" shrinkToFit="false"/>
      <protection locked="true" hidden="false"/>
    </xf>
    <xf numFmtId="170" fontId="57" fillId="2" borderId="0" xfId="23" applyFont="true" applyBorder="false" applyAlignment="true" applyProtection="false">
      <alignment horizontal="general" vertical="center" textRotation="0" wrapText="false" indent="0" shrinkToFit="false"/>
      <protection locked="true" hidden="false"/>
    </xf>
    <xf numFmtId="170" fontId="57" fillId="7" borderId="0" xfId="23" applyFont="true" applyBorder="false" applyAlignment="true" applyProtection="false">
      <alignment horizontal="general" vertical="center" textRotation="0" wrapText="false" indent="0" shrinkToFit="false"/>
      <protection locked="true" hidden="false"/>
    </xf>
    <xf numFmtId="165" fontId="0" fillId="2" borderId="0" xfId="20" applyFont="true" applyBorder="true" applyAlignment="true" applyProtection="true">
      <alignment horizontal="center" vertical="bottom" textRotation="0" wrapText="false" indent="0" shrinkToFit="false"/>
      <protection locked="true" hidden="false"/>
    </xf>
    <xf numFmtId="167" fontId="4" fillId="0" borderId="1" xfId="23" applyFont="true" applyBorder="true" applyAlignment="true" applyProtection="false">
      <alignment horizontal="left" vertical="bottom" textRotation="0" wrapText="false" indent="0" shrinkToFit="false"/>
      <protection locked="true" hidden="false"/>
    </xf>
    <xf numFmtId="168" fontId="4" fillId="0" borderId="0" xfId="24" applyFont="true" applyBorder="true" applyAlignment="true" applyProtection="true">
      <alignment horizontal="center" vertical="bottom" textRotation="0" wrapText="false" indent="0" shrinkToFit="false"/>
      <protection locked="true" hidden="false"/>
    </xf>
    <xf numFmtId="165" fontId="0" fillId="0" borderId="1" xfId="20" applyFont="true" applyBorder="true" applyAlignment="true" applyProtection="true">
      <alignment horizontal="general" vertical="bottom" textRotation="0" wrapText="false" indent="0" shrinkToFit="false"/>
      <protection locked="true" hidden="false"/>
    </xf>
    <xf numFmtId="172" fontId="50" fillId="5" borderId="1" xfId="23" applyFont="true" applyBorder="true" applyAlignment="true" applyProtection="false">
      <alignment horizontal="left" vertical="center" textRotation="0" wrapText="false" indent="0" shrinkToFit="false"/>
      <protection locked="true" hidden="false"/>
    </xf>
    <xf numFmtId="172" fontId="50" fillId="5" borderId="0" xfId="23" applyFont="true" applyBorder="false" applyAlignment="true" applyProtection="false">
      <alignment horizontal="center" vertical="center" textRotation="0" wrapText="false" indent="0" shrinkToFit="false"/>
      <protection locked="true" hidden="false"/>
    </xf>
    <xf numFmtId="167" fontId="53" fillId="0" borderId="0" xfId="23"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19" applyFont="tru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center" textRotation="0" wrapText="false" indent="0" shrinkToFit="false"/>
      <protection locked="true" hidden="false"/>
    </xf>
    <xf numFmtId="168" fontId="16" fillId="2"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center" textRotation="0" wrapText="true" indent="0" shrinkToFit="false"/>
      <protection locked="true" hidden="false"/>
    </xf>
    <xf numFmtId="164" fontId="61" fillId="0" borderId="3" xfId="0" applyFont="true" applyBorder="true" applyAlignment="true" applyProtection="false">
      <alignment horizontal="general" vertical="center" textRotation="0" wrapText="true" indent="0" shrinkToFit="false"/>
      <protection locked="true" hidden="false"/>
    </xf>
    <xf numFmtId="164" fontId="0" fillId="2" borderId="0" xfId="0" applyFont="fals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mma 2" xfId="20"/>
    <cellStyle name="Currency 2" xfId="21"/>
    <cellStyle name="Normal 2" xfId="22"/>
    <cellStyle name="Normal 3" xfId="23"/>
    <cellStyle name="Percent 2" xfId="24"/>
    <cellStyle name="Style 1" xfId="25"/>
  </cellStyles>
  <dxfs count="8">
    <dxf>
      <fill>
        <patternFill patternType="solid">
          <fgColor rgb="FFFFFFFF"/>
          <bgColor rgb="FF000000"/>
        </patternFill>
      </fill>
    </dxf>
    <dxf>
      <fill>
        <patternFill patternType="solid">
          <bgColor rgb="FF000000"/>
        </patternFill>
      </fill>
    </dxf>
    <dxf>
      <fill>
        <patternFill>
          <bgColor theme="3" tint="0.7999"/>
        </patternFill>
      </fill>
    </dxf>
    <dxf>
      <fill>
        <patternFill>
          <bgColor theme="3" tint="0.7999"/>
        </patternFill>
      </fill>
    </dxf>
    <dxf>
      <fill>
        <patternFill patternType="solid">
          <fgColor rgb="FF000000"/>
          <bgColor rgb="FF000000"/>
        </patternFill>
      </fill>
    </dxf>
    <dxf>
      <fill>
        <patternFill patternType="solid">
          <fgColor rgb="FFF2F2F2"/>
          <bgColor rgb="FF000000"/>
        </patternFill>
      </fill>
    </dxf>
    <dxf>
      <fill>
        <patternFill patternType="solid">
          <fgColor rgb="FF07080A"/>
          <bgColor rgb="FF000000"/>
        </patternFill>
      </fill>
    </dxf>
    <dxf>
      <fill>
        <patternFill patternType="solid">
          <fgColor rgb="FF4B556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5F52"/>
      <rgbColor rgb="FF800080"/>
      <rgbColor rgb="FF008080"/>
      <rgbColor rgb="FFC7BFBC"/>
      <rgbColor rgb="FF8B8B8B"/>
      <rgbColor rgb="FFA6A6A6"/>
      <rgbColor rgb="FF705448"/>
      <rgbColor rgb="FFF5F5F5"/>
      <rgbColor rgb="FFF2F2F2"/>
      <rgbColor rgb="FF660066"/>
      <rgbColor rgb="FFFF8080"/>
      <rgbColor rgb="FF0066CC"/>
      <rgbColor rgb="FFD6D6D6"/>
      <rgbColor rgb="FF000080"/>
      <rgbColor rgb="FFFF00FF"/>
      <rgbColor rgb="FFFFFF00"/>
      <rgbColor rgb="FF00FFFF"/>
      <rgbColor rgb="FF800080"/>
      <rgbColor rgb="FF800000"/>
      <rgbColor rgb="FF008080"/>
      <rgbColor rgb="FF0000FF"/>
      <rgbColor rgb="FF00CCFF"/>
      <rgbColor rgb="FFE5E7EB"/>
      <rgbColor rgb="FFF0E5DA"/>
      <rgbColor rgb="FFFADDCD"/>
      <rgbColor rgb="FFD9D9D9"/>
      <rgbColor rgb="FFFF99CC"/>
      <rgbColor rgb="FFCC99FF"/>
      <rgbColor rgb="FFF9CFC2"/>
      <rgbColor rgb="FF3366FF"/>
      <rgbColor rgb="FF33CCCC"/>
      <rgbColor rgb="FF99CC00"/>
      <rgbColor rgb="FFFFCC00"/>
      <rgbColor rgb="FFFF9900"/>
      <rgbColor rgb="FFFF6600"/>
      <rgbColor rgb="FF6B7281"/>
      <rgbColor rgb="FFA89994"/>
      <rgbColor rgb="FF003366"/>
      <rgbColor rgb="FF595959"/>
      <rgbColor rgb="FF07080A"/>
      <rgbColor rgb="FF404040"/>
      <rgbColor rgb="FFAE1E2E"/>
      <rgbColor rgb="FF60483E"/>
      <rgbColor rgb="FF4B5563"/>
      <rgbColor rgb="FF3232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externalLink" Target="externalLinks/externalLink1.xml"/><Relationship Id="rId14" Type="http://schemas.openxmlformats.org/officeDocument/2006/relationships/externalLink" Target="externalLinks/externalLink2.xml"/><Relationship Id="rId15" Type="http://schemas.openxmlformats.org/officeDocument/2006/relationships/sharedStrings" Target="sharedStrings.xml"/><Relationship Id="rId16" Type="http://schemas.openxmlformats.org/officeDocument/2006/relationships/customXml" Target="../customXml/item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485883583130011"/>
          <c:y val="0"/>
          <c:w val="0.894492854653189"/>
          <c:h val="0.999907166728556"/>
        </c:manualLayout>
      </c:layout>
      <c:lineChart>
        <c:grouping val="standard"/>
        <c:varyColors val="0"/>
        <c:ser>
          <c:idx val="0"/>
          <c:order val="0"/>
          <c:spPr>
            <a:solidFill>
              <a:srgbClr val="000000"/>
            </a:solidFill>
            <a:ln cap="rnd" w="28440">
              <a:solidFill>
                <a:srgbClr val="000000"/>
              </a:solidFill>
              <a:round/>
            </a:ln>
          </c:spPr>
          <c:marker>
            <c:symbol val="none"/>
          </c:marker>
          <c:dPt>
            <c:idx val="0"/>
            <c:marker>
              <c:symbol val="none"/>
            </c:marker>
          </c:dPt>
          <c:dPt>
            <c:idx val="1"/>
            <c:marker>
              <c:symbol val="none"/>
            </c:marker>
          </c:dPt>
          <c:dPt>
            <c:idx val="2"/>
            <c:marker>
              <c:symbol val="none"/>
            </c:marker>
          </c:dPt>
          <c:dPt>
            <c:idx val="3"/>
            <c:marker>
              <c:symbol val="none"/>
            </c:marker>
          </c:dPt>
          <c:dLbls>
            <c:numFmt formatCode="0.0%" sourceLinked="1"/>
            <c:dLbl>
              <c:idx val="0"/>
              <c:txPr>
                <a:bodyPr wrap="square"/>
                <a:lstStyle/>
                <a:p>
                  <a:pPr>
                    <a:defRPr b="0" sz="1200" strike="noStrike" u="none">
                      <a:solidFill>
                        <a:srgbClr val="404040"/>
                      </a:solidFill>
                      <a:uFillTx/>
                      <a:latin typeface="Montserrat"/>
                    </a:defRPr>
                  </a:pPr>
                </a:p>
              </c:txPr>
              <c:dLblPos val="r"/>
              <c:showLegendKey val="0"/>
              <c:showVal val="0"/>
              <c:showCatName val="0"/>
              <c:showSerName val="0"/>
              <c:showPercent val="0"/>
              <c:separator>; </c:separator>
            </c:dLbl>
            <c:dLbl>
              <c:idx val="1"/>
              <c:txPr>
                <a:bodyPr wrap="square"/>
                <a:lstStyle/>
                <a:p>
                  <a:pPr>
                    <a:defRPr b="0" sz="1200" strike="noStrike" u="none">
                      <a:solidFill>
                        <a:srgbClr val="404040"/>
                      </a:solidFill>
                      <a:uFillTx/>
                      <a:latin typeface="Montserrat"/>
                    </a:defRPr>
                  </a:pPr>
                </a:p>
              </c:txPr>
              <c:dLblPos val="r"/>
              <c:showLegendKey val="0"/>
              <c:showVal val="0"/>
              <c:showCatName val="0"/>
              <c:showSerName val="0"/>
              <c:showPercent val="0"/>
              <c:separator>; </c:separator>
            </c:dLbl>
            <c:dLbl>
              <c:idx val="2"/>
              <c:txPr>
                <a:bodyPr wrap="square"/>
                <a:lstStyle/>
                <a:p>
                  <a:pPr>
                    <a:defRPr b="0" sz="1200" strike="noStrike" u="none">
                      <a:solidFill>
                        <a:srgbClr val="404040"/>
                      </a:solidFill>
                      <a:uFillTx/>
                      <a:latin typeface="Montserrat"/>
                    </a:defRPr>
                  </a:pPr>
                </a:p>
              </c:txPr>
              <c:dLblPos val="r"/>
              <c:showLegendKey val="0"/>
              <c:showVal val="0"/>
              <c:showCatName val="0"/>
              <c:showSerName val="0"/>
              <c:showPercent val="0"/>
              <c:separator>; </c:separator>
            </c:dLbl>
            <c:dLbl>
              <c:idx val="3"/>
              <c:layout>
                <c:manualLayout>
                  <c:x val="0"/>
                  <c:y val="-0.00655319153327652"/>
                </c:manualLayout>
              </c:layout>
              <c:numFmt formatCode="0.0%" sourceLinked="1"/>
              <c:txPr>
                <a:bodyPr wrap="square"/>
                <a:lstStyle/>
                <a:p>
                  <a:pPr>
                    <a:defRPr b="0" sz="1200" strike="noStrike" u="none">
                      <a:solidFill>
                        <a:srgbClr val="404040"/>
                      </a:solidFill>
                      <a:uFillTx/>
                      <a:latin typeface="Montserrat"/>
                    </a:defRPr>
                  </a:pPr>
                </a:p>
              </c:txPr>
              <c:dLblPos val="r"/>
              <c:showLegendKey val="0"/>
              <c:showVal val="1"/>
              <c:showCatName val="0"/>
              <c:showSerName val="0"/>
              <c:showPercent val="0"/>
              <c:separator>; </c:separator>
            </c:dLbl>
            <c:txPr>
              <a:bodyPr wrap="square"/>
              <a:lstStyle/>
              <a:p>
                <a:pPr>
                  <a:defRPr b="0" sz="1200" strike="noStrike" u="none">
                    <a:solidFill>
                      <a:srgbClr val="404040"/>
                    </a:solidFill>
                    <a:uFillTx/>
                    <a:latin typeface="Montserrat"/>
                  </a:defRPr>
                </a:pPr>
              </a:p>
            </c:txPr>
            <c:dLblPos val="r"/>
            <c:showLegendKey val="0"/>
            <c:showVal val="1"/>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numRef>
              <c:f>Performancedata!$A$3:$A$6</c:f>
              <c:numCache>
                <c:formatCode>mmm\ yy</c:formatCode>
                <c:ptCount val="4"/>
                <c:pt idx="0">
                  <c:v>45838</c:v>
                </c:pt>
                <c:pt idx="1">
                  <c:v>45869</c:v>
                </c:pt>
                <c:pt idx="2">
                  <c:v>45900</c:v>
                </c:pt>
                <c:pt idx="3">
                  <c:v>45930</c:v>
                </c:pt>
              </c:numCache>
            </c:numRef>
          </c:cat>
          <c:val>
            <c:numRef>
              <c:f>Performancedata!$D$3:$D$6</c:f>
              <c:numCache>
                <c:formatCode>0.0%</c:formatCode>
                <c:ptCount val="4"/>
                <c:pt idx="0">
                  <c:v>0</c:v>
                </c:pt>
                <c:pt idx="1">
                  <c:v>0.0266</c:v>
                </c:pt>
                <c:pt idx="2">
                  <c:v>0.0504</c:v>
                </c:pt>
                <c:pt idx="3">
                  <c:v>0.0814669731244788</c:v>
                </c:pt>
              </c:numCache>
            </c:numRef>
          </c:val>
          <c:smooth val="1"/>
        </c:ser>
        <c:hiLowLines>
          <c:spPr>
            <a:ln w="0">
              <a:noFill/>
            </a:ln>
          </c:spPr>
        </c:hiLowLines>
        <c:marker val="0"/>
        <c:axId val="51544048"/>
        <c:axId val="42699417"/>
      </c:lineChart>
      <c:dateAx>
        <c:axId val="51544048"/>
        <c:scaling>
          <c:orientation val="minMax"/>
        </c:scaling>
        <c:delete val="0"/>
        <c:axPos val="b"/>
        <c:numFmt formatCode="mmm\ yy" sourceLinked="0"/>
        <c:majorTickMark val="out"/>
        <c:minorTickMark val="none"/>
        <c:tickLblPos val="nextTo"/>
        <c:spPr>
          <a:ln w="9360">
            <a:solidFill>
              <a:srgbClr val="d9d9d9"/>
            </a:solidFill>
            <a:round/>
          </a:ln>
        </c:spPr>
        <c:txPr>
          <a:bodyPr/>
          <a:lstStyle/>
          <a:p>
            <a:pPr>
              <a:defRPr b="0" sz="1600" strike="noStrike" u="none">
                <a:solidFill>
                  <a:srgbClr val="595959"/>
                </a:solidFill>
                <a:uFillTx/>
                <a:latin typeface="Aptos"/>
              </a:defRPr>
            </a:pPr>
          </a:p>
        </c:txPr>
        <c:crossAx val="42699417"/>
        <c:crosses val="autoZero"/>
        <c:auto val="1"/>
        <c:lblOffset val="100"/>
        <c:baseTimeUnit val="months"/>
        <c:noMultiLvlLbl val="0"/>
      </c:dateAx>
      <c:valAx>
        <c:axId val="42699417"/>
        <c:scaling>
          <c:orientation val="minMax"/>
        </c:scaling>
        <c:delete val="0"/>
        <c:axPos val="l"/>
        <c:numFmt formatCode="0%" sourceLinked="0"/>
        <c:majorTickMark val="out"/>
        <c:minorTickMark val="none"/>
        <c:tickLblPos val="nextTo"/>
        <c:spPr>
          <a:ln w="6480">
            <a:noFill/>
          </a:ln>
        </c:spPr>
        <c:txPr>
          <a:bodyPr/>
          <a:lstStyle/>
          <a:p>
            <a:pPr>
              <a:defRPr b="0" sz="1600" strike="noStrike" u="none">
                <a:solidFill>
                  <a:srgbClr val="595959"/>
                </a:solidFill>
                <a:uFillTx/>
                <a:latin typeface="Aptos"/>
              </a:defRPr>
            </a:pPr>
          </a:p>
        </c:txPr>
        <c:crossAx val="51544048"/>
        <c:crosses val="autoZero"/>
        <c:crossBetween val="midCat"/>
      </c:valAx>
      <c:spPr>
        <a:noFill/>
        <a:ln w="0">
          <a:noFill/>
        </a:ln>
      </c:spPr>
    </c:plotArea>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0732117449230371"/>
          <c:y val="0.164317228021091"/>
          <c:w val="0.852088992368387"/>
          <c:h val="0.731625955019908"/>
        </c:manualLayout>
      </c:layout>
      <c:barChart>
        <c:barDir val="bar"/>
        <c:grouping val="clustered"/>
        <c:varyColors val="0"/>
        <c:ser>
          <c:idx val="0"/>
          <c:order val="0"/>
          <c:spPr>
            <a:solidFill>
              <a:srgbClr val="d9d9d9"/>
            </a:solidFill>
            <a:ln w="3240">
              <a:solidFill>
                <a:srgbClr val="000000"/>
              </a:solidFill>
              <a:round/>
            </a:ln>
          </c:spPr>
          <c:invertIfNegative val="0"/>
          <c:dLbls>
            <c:txPr>
              <a:bodyPr wrap="square"/>
              <a:lstStyle/>
              <a:p>
                <a:pPr>
                  <a:defRPr b="0" sz="1000" strike="noStrike" u="none">
                    <a:solidFill>
                      <a:srgbClr val="000000"/>
                    </a:solidFill>
                    <a:uFillTx/>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Performancedata!$BQ$3:$BQ$10</c:f>
              <c:strCache>
                <c:ptCount val="8"/>
                <c:pt idx="0">
                  <c:v>INDEX</c:v>
                </c:pt>
                <c:pt idx="1">
                  <c:v> TECHNOLOGY </c:v>
                </c:pt>
                <c:pt idx="2">
                  <c:v> MATERIALS </c:v>
                </c:pt>
                <c:pt idx="3">
                  <c:v> INDUSTRIALS </c:v>
                </c:pt>
                <c:pt idx="4">
                  <c:v> METALS </c:v>
                </c:pt>
                <c:pt idx="5">
                  <c:v>HEALTH CARE</c:v>
                </c:pt>
                <c:pt idx="6">
                  <c:v>COMMUNICATIONS</c:v>
                </c:pt>
                <c:pt idx="7">
                  <c:v> CASH </c:v>
                </c:pt>
              </c:strCache>
            </c:strRef>
          </c:cat>
          <c:val>
            <c:numRef>
              <c:f>Performancedata!$BR$3:$BR$10</c:f>
              <c:numCache>
                <c:formatCode>0%</c:formatCode>
                <c:ptCount val="8"/>
                <c:pt idx="0">
                  <c:v>-0.0942024762553357</c:v>
                </c:pt>
                <c:pt idx="1">
                  <c:v>0.05</c:v>
                </c:pt>
                <c:pt idx="2">
                  <c:v>0.0229767033734125</c:v>
                </c:pt>
                <c:pt idx="3">
                  <c:v>0.0376420435342374</c:v>
                </c:pt>
                <c:pt idx="4">
                  <c:v>0.0502205088018873</c:v>
                </c:pt>
                <c:pt idx="5">
                  <c:v>0.14</c:v>
                </c:pt>
                <c:pt idx="6">
                  <c:v>0.25</c:v>
                </c:pt>
                <c:pt idx="7">
                  <c:v>0.54</c:v>
                </c:pt>
              </c:numCache>
            </c:numRef>
          </c:val>
        </c:ser>
        <c:gapWidth val="100"/>
        <c:overlap val="0"/>
        <c:axId val="90778593"/>
        <c:axId val="90271679"/>
      </c:barChart>
      <c:catAx>
        <c:axId val="90778593"/>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b="0" sz="1200" strike="noStrike" u="none">
                <a:solidFill>
                  <a:srgbClr val="000000"/>
                </a:solidFill>
                <a:uFillTx/>
                <a:latin typeface="Aptos"/>
              </a:defRPr>
            </a:pPr>
          </a:p>
        </c:txPr>
        <c:crossAx val="90271679"/>
        <c:crosses val="autoZero"/>
        <c:auto val="1"/>
        <c:lblAlgn val="ctr"/>
        <c:lblOffset val="100"/>
        <c:noMultiLvlLbl val="0"/>
      </c:catAx>
      <c:valAx>
        <c:axId val="90271679"/>
        <c:scaling>
          <c:orientation val="minMax"/>
        </c:scaling>
        <c:delete val="0"/>
        <c:axPos val="l"/>
        <c:title>
          <c:tx>
            <c:rich>
              <a:bodyPr rot="0"/>
              <a:lstStyle/>
              <a:p>
                <a:pPr>
                  <a:defRPr b="0" sz="1300" strike="noStrike" u="none">
                    <a:uFillTx/>
                    <a:latin typeface="Arial"/>
                  </a:defRPr>
                </a:pPr>
                <a:r>
                  <a:rPr b="0" lang="en-AU" sz="1600" strike="noStrike" u="none">
                    <a:solidFill>
                      <a:srgbClr val="000000"/>
                    </a:solidFill>
                    <a:uFillTx/>
                    <a:latin typeface="Montserrat"/>
                  </a:rPr>
                  <a:t>SECTOR EXPOSURE</a:t>
                </a:r>
              </a:p>
            </c:rich>
          </c:tx>
          <c:layout>
            <c:manualLayout>
              <c:xMode val="edge"/>
              <c:yMode val="edge"/>
              <c:x val="0.303777001681542"/>
              <c:y val="0.0220596147638007"/>
            </c:manualLayout>
          </c:layout>
          <c:overlay val="0"/>
          <c:spPr>
            <a:solidFill>
              <a:srgbClr val="f2f2f2"/>
            </a:solidFill>
            <a:ln w="0">
              <a:noFill/>
            </a:ln>
          </c:spPr>
        </c:title>
        <c:numFmt formatCode="0%" sourceLinked="0"/>
        <c:majorTickMark val="out"/>
        <c:minorTickMark val="none"/>
        <c:tickLblPos val="nextTo"/>
        <c:spPr>
          <a:ln w="6480">
            <a:solidFill>
              <a:srgbClr val="8b8b8b"/>
            </a:solidFill>
            <a:round/>
          </a:ln>
        </c:spPr>
        <c:txPr>
          <a:bodyPr/>
          <a:lstStyle/>
          <a:p>
            <a:pPr>
              <a:defRPr b="0" sz="1200" strike="noStrike" u="none">
                <a:solidFill>
                  <a:srgbClr val="000000"/>
                </a:solidFill>
                <a:uFillTx/>
                <a:latin typeface="Aptos"/>
              </a:defRPr>
            </a:pPr>
          </a:p>
        </c:txPr>
        <c:crossAx val="90778593"/>
        <c:crosses val="autoZero"/>
        <c:crossBetween val="between"/>
      </c:valAx>
      <c:spPr>
        <a:solidFill>
          <a:srgbClr val="ffffff"/>
        </a:solidFill>
        <a:ln w="0">
          <a:noFill/>
        </a:ln>
      </c:spPr>
    </c:plotArea>
    <c:plotVisOnly val="1"/>
    <c:dispBlanksAs val="gap"/>
  </c:chart>
  <c:spPr>
    <a:noFill/>
    <a:ln w="648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0" lang="en-AU" sz="1600" strike="noStrike" u="none">
                <a:solidFill>
                  <a:srgbClr val="000000"/>
                </a:solidFill>
                <a:uFillTx/>
                <a:latin typeface="Montserrat"/>
              </a:rPr>
              <a:t>MARKET CAP</a:t>
            </a:r>
            <a:r>
              <a:rPr b="0" lang="en-AU" sz="1600" strike="noStrike" u="none">
                <a:solidFill>
                  <a:srgbClr val="000000"/>
                </a:solidFill>
                <a:uFillTx/>
                <a:latin typeface="Montserrat"/>
              </a:rPr>
              <a:t> EXPOSURE</a:t>
            </a:r>
          </a:p>
        </c:rich>
      </c:tx>
      <c:layout>
        <c:manualLayout>
          <c:xMode val="edge"/>
          <c:yMode val="edge"/>
          <c:x val="0.213027387120651"/>
          <c:y val="0.0187188019966722"/>
        </c:manualLayout>
      </c:layout>
      <c:overlay val="0"/>
      <c:spPr>
        <a:solidFill>
          <a:srgbClr val="f2f2f2"/>
        </a:solidFill>
        <a:ln w="0">
          <a:noFill/>
        </a:ln>
      </c:spPr>
    </c:title>
    <c:autoTitleDeleted val="0"/>
    <c:plotArea>
      <c:layout>
        <c:manualLayout>
          <c:layoutTarget val="inner"/>
          <c:xMode val="edge"/>
          <c:yMode val="edge"/>
          <c:x val="0.0717246484085862"/>
          <c:y val="0.233049084858569"/>
          <c:w val="0.440044411547002"/>
          <c:h val="0.691971713810316"/>
        </c:manualLayout>
      </c:layout>
      <c:doughnutChart>
        <c:varyColors val="1"/>
        <c:ser>
          <c:idx val="0"/>
          <c:order val="0"/>
          <c:spPr>
            <a:solidFill>
              <a:srgbClr val="7f5f52"/>
            </a:solidFill>
            <a:ln w="0">
              <a:solidFill>
                <a:srgbClr val="000000"/>
              </a:solidFill>
            </a:ln>
          </c:spPr>
          <c:explosion val="0"/>
          <c:dPt>
            <c:idx val="0"/>
            <c:spPr>
              <a:solidFill>
                <a:srgbClr val="c7bfbc"/>
              </a:solidFill>
              <a:ln w="0">
                <a:solidFill>
                  <a:srgbClr val="000000"/>
                </a:solidFill>
              </a:ln>
            </c:spPr>
          </c:dPt>
          <c:dPt>
            <c:idx val="1"/>
            <c:spPr>
              <a:solidFill>
                <a:srgbClr val="a89994"/>
              </a:solidFill>
              <a:ln w="0">
                <a:solidFill>
                  <a:srgbClr val="000000"/>
                </a:solidFill>
              </a:ln>
            </c:spPr>
          </c:dPt>
          <c:dPt>
            <c:idx val="2"/>
            <c:spPr>
              <a:solidFill>
                <a:srgbClr val="7f5f52"/>
              </a:solidFill>
              <a:ln w="0">
                <a:solidFill>
                  <a:srgbClr val="000000"/>
                </a:solidFill>
              </a:ln>
            </c:spPr>
          </c:dPt>
          <c:dPt>
            <c:idx val="3"/>
            <c:spPr>
              <a:solidFill>
                <a:srgbClr val="705448"/>
              </a:solidFill>
              <a:ln w="0">
                <a:solidFill>
                  <a:srgbClr val="000000"/>
                </a:solidFill>
              </a:ln>
            </c:spPr>
          </c:dPt>
          <c:dPt>
            <c:idx val="4"/>
            <c:spPr>
              <a:solidFill>
                <a:srgbClr val="60483e"/>
              </a:solidFill>
              <a:ln w="0">
                <a:solidFill>
                  <a:srgbClr val="000000"/>
                </a:solidFill>
              </a:ln>
            </c:spPr>
          </c:dPt>
          <c:dLbls>
            <c:dLbl>
              <c:idx val="0"/>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dLbl>
            <c:dLbl>
              <c:idx val="1"/>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dLbl>
            <c:dLbl>
              <c:idx val="2"/>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dLbl>
            <c:dLbl>
              <c:idx val="3"/>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dLbl>
            <c:dLbl>
              <c:idx val="4"/>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dLbl>
            <c:txPr>
              <a:bodyPr wrap="square"/>
              <a:lstStyle/>
              <a:p>
                <a:pPr>
                  <a:defRPr b="0" sz="1000" strike="noStrike" u="none">
                    <a:solidFill>
                      <a:srgbClr val="000000"/>
                    </a:solidFill>
                    <a:uFillTx/>
                    <a:latin typeface="Calibri"/>
                  </a:defRPr>
                </a:pPr>
              </a:p>
            </c:txPr>
            <c:showLegendKey val="0"/>
            <c:showVal val="0"/>
            <c:showCatName val="0"/>
            <c:showSerName val="0"/>
            <c:showPercent val="0"/>
            <c:separator>; </c:separator>
            <c:showLeaderLines val="1"/>
          </c:dLbls>
          <c:cat>
            <c:strRef>
              <c:f>Performancedata!$CA$27:$CA$31</c:f>
              <c:strCache>
                <c:ptCount val="5"/>
                <c:pt idx="0">
                  <c:v>&gt;$10b (84%)</c:v>
                </c:pt>
                <c:pt idx="1">
                  <c:v>$1b-$10b (11%)</c:v>
                </c:pt>
                <c:pt idx="2">
                  <c:v>$500m-$1b (0%)</c:v>
                </c:pt>
                <c:pt idx="3">
                  <c:v>$300m-$500m (0%)</c:v>
                </c:pt>
                <c:pt idx="4">
                  <c:v>&lt;$300m (5%)</c:v>
                </c:pt>
              </c:strCache>
            </c:strRef>
          </c:cat>
          <c:val>
            <c:numRef>
              <c:f>Performancedata!$CB$27:$CB$31</c:f>
              <c:numCache>
                <c:formatCode>0%</c:formatCode>
                <c:ptCount val="5"/>
                <c:pt idx="0">
                  <c:v>0.84</c:v>
                </c:pt>
                <c:pt idx="1">
                  <c:v>0.11</c:v>
                </c:pt>
                <c:pt idx="2">
                  <c:v>0</c:v>
                </c:pt>
                <c:pt idx="3">
                  <c:v>0</c:v>
                </c:pt>
                <c:pt idx="4">
                  <c:v>0.05</c:v>
                </c:pt>
              </c:numCache>
            </c:numRef>
          </c:val>
        </c:ser>
        <c:firstSliceAng val="0"/>
        <c:holeSize val="50"/>
      </c:doughnutChart>
      <c:spPr>
        <a:noFill/>
        <a:ln w="0">
          <a:noFill/>
        </a:ln>
      </c:spPr>
    </c:plotArea>
    <c:legend>
      <c:legendPos val="r"/>
      <c:layout>
        <c:manualLayout>
          <c:xMode val="edge"/>
          <c:yMode val="edge"/>
          <c:x val="0.529506071240024"/>
          <c:y val="0.229830621519931"/>
          <c:w val="0.447929120990031"/>
          <c:h val="0.63572046426744"/>
        </c:manualLayout>
      </c:layout>
      <c:overlay val="0"/>
      <c:spPr>
        <a:noFill/>
        <a:ln w="0">
          <a:noFill/>
        </a:ln>
      </c:spPr>
      <c:txPr>
        <a:bodyPr/>
        <a:lstStyle/>
        <a:p>
          <a:pPr>
            <a:defRPr b="0" lang="en-AU" sz="1400" strike="noStrike" u="none">
              <a:solidFill>
                <a:srgbClr val="000000"/>
              </a:solidFill>
              <a:uFillTx/>
              <a:latin typeface="HelveticaNeue LT 33 ThinEx"/>
            </a:defRPr>
          </a:pPr>
        </a:p>
      </c:txPr>
    </c:legend>
    <c:plotVisOnly val="1"/>
    <c:dispBlanksAs val="gap"/>
  </c:chart>
  <c:spPr>
    <a:no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chart" Target="../charts/chart2.xml"/><Relationship Id="rId6" Type="http://schemas.openxmlformats.org/officeDocument/2006/relationships/chart" Target="../charts/chart3.xml"/><Relationship Id="rId7" Type="http://schemas.openxmlformats.org/officeDocument/2006/relationships/image" Target="../media/image6.png"/><Relationship Id="rId8" Type="http://schemas.openxmlformats.org/officeDocument/2006/relationships/image" Target="../media/image7.png"/><Relationship Id="rId9" Type="http://schemas.openxmlformats.org/officeDocument/2006/relationships/image" Target="../media/image8.png"/><Relationship Id="rId10" Type="http://schemas.openxmlformats.org/officeDocument/2006/relationships/image" Target="../media/image6.png"/><Relationship Id="rId11" Type="http://schemas.openxmlformats.org/officeDocument/2006/relationships/image" Target="../media/image9.png"/><Relationship Id="rId12" Type="http://schemas.openxmlformats.org/officeDocument/2006/relationships/image" Target="../media/image10.wmf"/><Relationship Id="rId13" Type="http://schemas.openxmlformats.org/officeDocument/2006/relationships/image" Target="../media/image11.wmf"/>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19</xdr:col>
      <xdr:colOff>200160</xdr:colOff>
      <xdr:row>9</xdr:row>
      <xdr:rowOff>152280</xdr:rowOff>
    </xdr:from>
    <xdr:to>
      <xdr:col>41</xdr:col>
      <xdr:colOff>37080</xdr:colOff>
      <xdr:row>23</xdr:row>
      <xdr:rowOff>65880</xdr:rowOff>
    </xdr:to>
    <xdr:pic>
      <xdr:nvPicPr>
        <xdr:cNvPr id="0" name="Picture 1" descr=""/>
        <xdr:cNvPicPr/>
      </xdr:nvPicPr>
      <xdr:blipFill>
        <a:blip r:embed="rId1"/>
        <a:stretch/>
      </xdr:blipFill>
      <xdr:spPr>
        <a:xfrm>
          <a:off x="9690120" y="1780920"/>
          <a:ext cx="5369040" cy="2447280"/>
        </a:xfrm>
        <a:prstGeom prst="rect">
          <a:avLst/>
        </a:prstGeom>
        <a:noFill/>
        <a:ln w="0">
          <a:noFill/>
        </a:ln>
      </xdr:spPr>
    </xdr:pic>
    <xdr:clientData/>
  </xdr:twoCellAnchor>
  <xdr:twoCellAnchor editAs="oneCell">
    <xdr:from>
      <xdr:col>1</xdr:col>
      <xdr:colOff>228600</xdr:colOff>
      <xdr:row>11</xdr:row>
      <xdr:rowOff>95400</xdr:rowOff>
    </xdr:from>
    <xdr:to>
      <xdr:col>19</xdr:col>
      <xdr:colOff>17640</xdr:colOff>
      <xdr:row>23</xdr:row>
      <xdr:rowOff>94680</xdr:rowOff>
    </xdr:to>
    <xdr:pic>
      <xdr:nvPicPr>
        <xdr:cNvPr id="1" name="Picture 2" descr=""/>
        <xdr:cNvPicPr/>
      </xdr:nvPicPr>
      <xdr:blipFill>
        <a:blip r:embed="rId2"/>
        <a:stretch/>
      </xdr:blipFill>
      <xdr:spPr>
        <a:xfrm>
          <a:off x="480240" y="2086200"/>
          <a:ext cx="9027360" cy="2170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54000</xdr:colOff>
      <xdr:row>17</xdr:row>
      <xdr:rowOff>423720</xdr:rowOff>
    </xdr:from>
    <xdr:to>
      <xdr:col>14</xdr:col>
      <xdr:colOff>421920</xdr:colOff>
      <xdr:row>38</xdr:row>
      <xdr:rowOff>95040</xdr:rowOff>
    </xdr:to>
    <xdr:graphicFrame>
      <xdr:nvGraphicFramePr>
        <xdr:cNvPr id="2" name="Chart 1"/>
        <xdr:cNvGraphicFramePr/>
      </xdr:nvGraphicFramePr>
      <xdr:xfrm>
        <a:off x="657720" y="3967200"/>
        <a:ext cx="10328040" cy="3877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36</xdr:col>
      <xdr:colOff>536760</xdr:colOff>
      <xdr:row>60</xdr:row>
      <xdr:rowOff>134640</xdr:rowOff>
    </xdr:from>
    <xdr:to>
      <xdr:col>50</xdr:col>
      <xdr:colOff>7200</xdr:colOff>
      <xdr:row>110</xdr:row>
      <xdr:rowOff>194400</xdr:rowOff>
    </xdr:to>
    <xdr:sp>
      <xdr:nvSpPr>
        <xdr:cNvPr id="3" name="TextBox 4"/>
        <xdr:cNvSpPr/>
      </xdr:nvSpPr>
      <xdr:spPr>
        <a:xfrm>
          <a:off x="24699960" y="13395240"/>
          <a:ext cx="7924680" cy="9236880"/>
        </a:xfrm>
        <a:prstGeom prst="rect">
          <a:avLst/>
        </a:prstGeom>
        <a:noFill/>
        <a:ln w="0">
          <a:noFill/>
        </a:ln>
      </xdr:spPr>
      <xdr:style>
        <a:lnRef idx="0"/>
        <a:fillRef idx="0"/>
        <a:effectRef idx="0"/>
        <a:fontRef idx="minor"/>
      </xdr:style>
      <xdr:txBody>
        <a:bodyPr lIns="90000" rIns="90000" tIns="45000" bIns="45000" anchor="t">
          <a:noAutofit/>
        </a:bodyPr>
        <a:p>
          <a:pPr defTabSz="457200">
            <a:lnSpc>
              <a:spcPct val="150000"/>
            </a:lnSpc>
          </a:pPr>
          <a:r>
            <a:rPr b="1" lang="en-AU" sz="1500" strike="noStrike" u="none">
              <a:solidFill>
                <a:srgbClr val="000000"/>
              </a:solidFill>
              <a:effectLst/>
              <a:uFillTx/>
              <a:latin typeface="Aptos"/>
            </a:rPr>
            <a:t>Companies </a:t>
          </a:r>
          <a:endParaRPr b="0" lang="en-IN" sz="1500" strike="noStrike" u="none">
            <a:effectLst/>
            <a:uFillTx/>
            <a:latin typeface="Times New Roman"/>
          </a:endParaRPr>
        </a:p>
        <a:p>
          <a:pPr defTabSz="457200">
            <a:lnSpc>
              <a:spcPct val="100000"/>
            </a:lnSpc>
          </a:pPr>
          <a:r>
            <a:rPr b="1" lang="en-AU" sz="1050" strike="noStrike" u="none">
              <a:solidFill>
                <a:schemeClr val="dk1"/>
              </a:solidFill>
              <a:effectLst/>
              <a:uFillTx/>
              <a:latin typeface="Calibri"/>
            </a:rPr>
            <a:t>Alphabet (Google, GOOGL)</a:t>
          </a:r>
          <a:endParaRPr b="0" lang="en-IN" sz="1050" strike="noStrike" u="none">
            <a:effectLst/>
            <a:uFillTx/>
            <a:latin typeface="Times New Roman"/>
          </a:endParaRPr>
        </a:p>
        <a:p>
          <a:pPr defTabSz="457200">
            <a:lnSpc>
              <a:spcPct val="100000"/>
            </a:lnSpc>
          </a:pPr>
          <a:r>
            <a:rPr b="1" lang="en-AU" sz="1050" strike="noStrike" u="none">
              <a:solidFill>
                <a:schemeClr val="dk1"/>
              </a:solidFill>
              <a:effectLst/>
              <a:uFillTx/>
              <a:latin typeface="Calibri"/>
            </a:rPr>
            <a:t>Market Cap</a:t>
          </a:r>
          <a:r>
            <a:rPr b="0" lang="en-AU" sz="1050" strike="noStrike" u="none">
              <a:solidFill>
                <a:schemeClr val="dk1"/>
              </a:solidFill>
              <a:effectLst/>
              <a:uFillTx/>
              <a:latin typeface="Calibri"/>
            </a:rPr>
            <a:t>: ~US$2.5 trn | </a:t>
          </a:r>
          <a:r>
            <a:rPr b="1" lang="en-AU" sz="1050" strike="noStrike" u="none">
              <a:solidFill>
                <a:schemeClr val="dk1"/>
              </a:solidFill>
              <a:effectLst/>
              <a:uFillTx/>
              <a:latin typeface="Calibri"/>
            </a:rPr>
            <a:t>EV</a:t>
          </a:r>
          <a:r>
            <a:rPr b="0" lang="en-AU" sz="1050" strike="noStrike" u="none">
              <a:solidFill>
                <a:schemeClr val="dk1"/>
              </a:solidFill>
              <a:effectLst/>
              <a:uFillTx/>
              <a:latin typeface="Calibri"/>
            </a:rPr>
            <a:t>: US$2.1 trn | </a:t>
          </a:r>
          <a:r>
            <a:rPr b="1" lang="en-AU" sz="1050" strike="noStrike" u="none">
              <a:solidFill>
                <a:schemeClr val="dk1"/>
              </a:solidFill>
              <a:effectLst/>
              <a:uFillTx/>
              <a:latin typeface="Calibri"/>
            </a:rPr>
            <a:t>Forward EPS Growth</a:t>
          </a:r>
          <a:r>
            <a:rPr b="0" lang="en-AU" sz="1050" strike="noStrike" u="none">
              <a:solidFill>
                <a:schemeClr val="dk1"/>
              </a:solidFill>
              <a:effectLst/>
              <a:uFillTx/>
              <a:latin typeface="Calibri"/>
            </a:rPr>
            <a:t>: ~14% | </a:t>
          </a:r>
          <a:r>
            <a:rPr b="1" lang="en-AU" sz="1050" strike="noStrike" u="none">
              <a:solidFill>
                <a:schemeClr val="dk1"/>
              </a:solidFill>
              <a:effectLst/>
              <a:uFillTx/>
              <a:latin typeface="Calibri"/>
            </a:rPr>
            <a:t>Forward P/E</a:t>
          </a:r>
          <a:r>
            <a:rPr b="0" lang="en-AU" sz="1050" strike="noStrike" u="none">
              <a:solidFill>
                <a:schemeClr val="dk1"/>
              </a:solidFill>
              <a:effectLst/>
              <a:uFillTx/>
              <a:latin typeface="Calibri"/>
            </a:rPr>
            <a:t>: ~20×</a:t>
          </a:r>
          <a:endParaRPr b="0" lang="en-IN" sz="1050" strike="noStrike" u="none">
            <a:effectLst/>
            <a:uFillTx/>
            <a:latin typeface="Times New Roman"/>
          </a:endParaRPr>
        </a:p>
        <a:p>
          <a:pPr defTabSz="457200">
            <a:lnSpc>
              <a:spcPct val="100000"/>
            </a:lnSpc>
          </a:pPr>
          <a:r>
            <a:rPr b="1" lang="en-AU" sz="1050" strike="noStrike" u="none">
              <a:solidFill>
                <a:schemeClr val="dk1"/>
              </a:solidFill>
              <a:effectLst/>
              <a:uFillTx/>
              <a:latin typeface="Calibri"/>
            </a:rPr>
            <a:t>What it does</a:t>
          </a:r>
          <a:br/>
          <a:r>
            <a:rPr b="0" lang="en-AU" sz="1050" strike="noStrike" u="none">
              <a:solidFill>
                <a:schemeClr val="dk1"/>
              </a:solidFill>
              <a:effectLst/>
              <a:uFillTx/>
              <a:latin typeface="Calibri"/>
            </a:rPr>
            <a:t>Alphabet is a global tech leader and the clear frontrunner in AI innovation. Google has integrated advanced generative AI into Search, Gemini, YouTube, Maps, and Cloud, while also pushing the frontier with projects in autonomous driving and algorithmic discovery.</a:t>
          </a:r>
          <a:endParaRPr b="0" lang="en-IN" sz="1050" strike="noStrike" u="none">
            <a:effectLst/>
            <a:uFillTx/>
            <a:latin typeface="Times New Roman"/>
          </a:endParaRPr>
        </a:p>
        <a:p>
          <a:pPr defTabSz="457200">
            <a:lnSpc>
              <a:spcPct val="100000"/>
            </a:lnSpc>
          </a:pPr>
          <a:r>
            <a:rPr b="1" lang="en-AU" sz="1050" strike="noStrike" u="none">
              <a:solidFill>
                <a:schemeClr val="dk1"/>
              </a:solidFill>
              <a:effectLst/>
              <a:uFillTx/>
              <a:latin typeface="Calibri"/>
            </a:rPr>
            <a:t>Investment case</a:t>
          </a:r>
          <a:br/>
          <a:r>
            <a:rPr b="0" lang="en-AU" sz="1050" strike="noStrike" u="none">
              <a:solidFill>
                <a:schemeClr val="dk1"/>
              </a:solidFill>
              <a:effectLst/>
              <a:uFillTx/>
              <a:latin typeface="Calibri"/>
            </a:rPr>
            <a:t>AI is now the growth engine alongside its core advertising business. Cloud deals and AI-driven engagement are accelerating revenue. Its forward multiple is well below other megacaps, leaving room for re-rating. Risks include regulatory pressure and AI competition, but the investment case rests on its scale and leadership in the next computing wave.</a:t>
          </a:r>
          <a:endParaRPr b="0" lang="en-IN" sz="1050" strike="noStrike" u="none">
            <a:effectLst/>
            <a:uFillTx/>
            <a:latin typeface="Times New Roman"/>
          </a:endParaRPr>
        </a:p>
        <a:p>
          <a:pPr defTabSz="457200">
            <a:lnSpc>
              <a:spcPct val="100000"/>
            </a:lnSpc>
          </a:pPr>
          <a:endParaRPr b="0" lang="en-IN" sz="1050" strike="noStrike" u="none">
            <a:effectLst/>
            <a:uFillTx/>
            <a:latin typeface="Times New Roman"/>
          </a:endParaRPr>
        </a:p>
        <a:p>
          <a:pPr defTabSz="914400">
            <a:lnSpc>
              <a:spcPct val="100000"/>
            </a:lnSpc>
            <a:tabLst>
              <a:tab algn="l" pos="0"/>
            </a:tabLst>
          </a:pPr>
          <a:r>
            <a:rPr b="1" lang="en-AU" sz="1050" strike="noStrike" u="none">
              <a:solidFill>
                <a:srgbClr val="000000"/>
              </a:solidFill>
              <a:effectLst/>
              <a:uFillTx/>
              <a:latin typeface="Calibri"/>
            </a:rPr>
            <a:t>AMD (Advanced Micro Devices, AMD)</a:t>
          </a:r>
          <a:endParaRPr b="0" lang="en-IN" sz="1050" strike="noStrike" u="none">
            <a:effectLst/>
            <a:uFillTx/>
            <a:latin typeface="Times New Roman"/>
          </a:endParaRPr>
        </a:p>
        <a:p>
          <a:pPr defTabSz="914400">
            <a:lnSpc>
              <a:spcPct val="100000"/>
            </a:lnSpc>
            <a:tabLst>
              <a:tab algn="l" pos="0"/>
            </a:tabLst>
          </a:pPr>
          <a:r>
            <a:rPr b="1" lang="en-AU" sz="1050" strike="noStrike" u="none">
              <a:solidFill>
                <a:srgbClr val="000000"/>
              </a:solidFill>
              <a:effectLst/>
              <a:uFillTx/>
              <a:latin typeface="Calibri"/>
            </a:rPr>
            <a:t>Market Cap</a:t>
          </a:r>
          <a:r>
            <a:rPr b="0" lang="en-AU" sz="1050" strike="noStrike" u="none">
              <a:solidFill>
                <a:srgbClr val="000000"/>
              </a:solidFill>
              <a:effectLst/>
              <a:uFillTx/>
              <a:latin typeface="Calibri"/>
            </a:rPr>
            <a:t>: ~US$260 b | </a:t>
          </a:r>
          <a:r>
            <a:rPr b="1" lang="en-AU" sz="1050" strike="noStrike" u="none">
              <a:solidFill>
                <a:srgbClr val="000000"/>
              </a:solidFill>
              <a:effectLst/>
              <a:uFillTx/>
              <a:latin typeface="Calibri"/>
            </a:rPr>
            <a:t>EV</a:t>
          </a:r>
          <a:r>
            <a:rPr b="0" lang="en-AU" sz="1050" strike="noStrike" u="none">
              <a:solidFill>
                <a:srgbClr val="000000"/>
              </a:solidFill>
              <a:effectLst/>
              <a:uFillTx/>
              <a:latin typeface="Calibri"/>
            </a:rPr>
            <a:t>: ~US$255 b | </a:t>
          </a:r>
          <a:r>
            <a:rPr b="1" lang="en-AU" sz="1050" strike="noStrike" u="none">
              <a:solidFill>
                <a:srgbClr val="000000"/>
              </a:solidFill>
              <a:effectLst/>
              <a:uFillTx/>
              <a:latin typeface="Calibri"/>
            </a:rPr>
            <a:t>Forward EPS Growth</a:t>
          </a:r>
          <a:r>
            <a:rPr b="0" lang="en-AU" sz="1050" strike="noStrike" u="none">
              <a:solidFill>
                <a:srgbClr val="000000"/>
              </a:solidFill>
              <a:effectLst/>
              <a:uFillTx/>
              <a:latin typeface="Calibri"/>
            </a:rPr>
            <a:t>: ~20% | </a:t>
          </a:r>
          <a:r>
            <a:rPr b="1" lang="en-AU" sz="1050" strike="noStrike" u="none">
              <a:solidFill>
                <a:srgbClr val="000000"/>
              </a:solidFill>
              <a:effectLst/>
              <a:uFillTx/>
              <a:latin typeface="Calibri"/>
            </a:rPr>
            <a:t>Forward P/E</a:t>
          </a:r>
          <a:r>
            <a:rPr b="0" lang="en-AU" sz="1050" strike="noStrike" u="none">
              <a:solidFill>
                <a:srgbClr val="000000"/>
              </a:solidFill>
              <a:effectLst/>
              <a:uFillTx/>
              <a:latin typeface="Calibri"/>
            </a:rPr>
            <a:t>: ~38×</a:t>
          </a:r>
          <a:endParaRPr b="0" lang="en-IN" sz="1050" strike="noStrike" u="none">
            <a:effectLst/>
            <a:uFillTx/>
            <a:latin typeface="Times New Roman"/>
          </a:endParaRPr>
        </a:p>
        <a:p>
          <a:pPr defTabSz="914400">
            <a:lnSpc>
              <a:spcPct val="100000"/>
            </a:lnSpc>
            <a:tabLst>
              <a:tab algn="l" pos="0"/>
            </a:tabLst>
          </a:pPr>
          <a:r>
            <a:rPr b="1" lang="en-AU" sz="1050" strike="noStrike" u="none">
              <a:solidFill>
                <a:srgbClr val="000000"/>
              </a:solidFill>
              <a:effectLst/>
              <a:uFillTx/>
              <a:latin typeface="Calibri"/>
            </a:rPr>
            <a:t>What it does</a:t>
          </a:r>
          <a:br/>
          <a:r>
            <a:rPr b="0" lang="en-AU" sz="1050" strike="noStrike" u="none">
              <a:solidFill>
                <a:srgbClr val="000000"/>
              </a:solidFill>
              <a:effectLst/>
              <a:uFillTx/>
              <a:latin typeface="Calibri"/>
            </a:rPr>
            <a:t>Designs CPUs, GPUs, and data centre chips, competing with Intel in processors and Nvidia in AI accelerators.</a:t>
          </a:r>
          <a:endParaRPr b="0" lang="en-IN" sz="1050" strike="noStrike" u="none">
            <a:effectLst/>
            <a:uFillTx/>
            <a:latin typeface="Times New Roman"/>
          </a:endParaRPr>
        </a:p>
        <a:p>
          <a:pPr defTabSz="914400">
            <a:lnSpc>
              <a:spcPct val="100000"/>
            </a:lnSpc>
            <a:tabLst>
              <a:tab algn="l" pos="0"/>
            </a:tabLst>
          </a:pPr>
          <a:r>
            <a:rPr b="1" lang="en-AU" sz="1050" strike="noStrike" u="none">
              <a:solidFill>
                <a:srgbClr val="000000"/>
              </a:solidFill>
              <a:effectLst/>
              <a:uFillTx/>
              <a:latin typeface="Calibri"/>
            </a:rPr>
            <a:t>Investment case</a:t>
          </a:r>
          <a:br/>
          <a:r>
            <a:rPr b="0" lang="en-AU" sz="1050" strike="noStrike" u="none">
              <a:solidFill>
                <a:srgbClr val="000000"/>
              </a:solidFill>
              <a:effectLst/>
              <a:uFillTx/>
              <a:latin typeface="Calibri"/>
            </a:rPr>
            <a:t>Key beneficiary of AI and cloud adoption, with market share gains across data centre and PCs. Premium valuation reflects strong positioning, but risks include cyclicality and Nvidia’s entrenched GPU dominance.</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Reddit (RDDT)</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Market Cap</a:t>
          </a:r>
          <a:r>
            <a:rPr b="0" lang="en-AU" sz="1050" strike="noStrike" u="none">
              <a:solidFill>
                <a:schemeClr val="dk1"/>
              </a:solidFill>
              <a:effectLst/>
              <a:uFillTx/>
              <a:latin typeface="Calibri"/>
            </a:rPr>
            <a:t>: ~US$46 b | </a:t>
          </a:r>
          <a:r>
            <a:rPr b="1" lang="en-AU" sz="1050" strike="noStrike" u="none">
              <a:solidFill>
                <a:schemeClr val="dk1"/>
              </a:solidFill>
              <a:effectLst/>
              <a:uFillTx/>
              <a:latin typeface="Calibri"/>
            </a:rPr>
            <a:t>EV</a:t>
          </a:r>
          <a:r>
            <a:rPr b="0" lang="en-AU" sz="1050" strike="noStrike" u="none">
              <a:solidFill>
                <a:schemeClr val="dk1"/>
              </a:solidFill>
              <a:effectLst/>
              <a:uFillTx/>
              <a:latin typeface="Calibri"/>
            </a:rPr>
            <a:t>: ~US$44 b | </a:t>
          </a:r>
          <a:r>
            <a:rPr b="1" lang="en-AU" sz="1050" strike="noStrike" u="none">
              <a:solidFill>
                <a:schemeClr val="dk1"/>
              </a:solidFill>
              <a:effectLst/>
              <a:uFillTx/>
              <a:latin typeface="Calibri"/>
            </a:rPr>
            <a:t>Forward EPS Growth</a:t>
          </a:r>
          <a:r>
            <a:rPr b="0" lang="en-AU" sz="1050" strike="noStrike" u="none">
              <a:solidFill>
                <a:schemeClr val="dk1"/>
              </a:solidFill>
              <a:effectLst/>
              <a:uFillTx/>
              <a:latin typeface="Calibri"/>
            </a:rPr>
            <a:t>: ~34% | </a:t>
          </a:r>
          <a:r>
            <a:rPr b="1" lang="en-AU" sz="1050" strike="noStrike" u="none">
              <a:solidFill>
                <a:schemeClr val="dk1"/>
              </a:solidFill>
              <a:effectLst/>
              <a:uFillTx/>
              <a:latin typeface="Calibri"/>
            </a:rPr>
            <a:t>Forward P/E</a:t>
          </a:r>
          <a:r>
            <a:rPr b="0" lang="en-AU" sz="1050" strike="noStrike" u="none">
              <a:solidFill>
                <a:schemeClr val="dk1"/>
              </a:solidFill>
              <a:effectLst/>
              <a:uFillTx/>
              <a:latin typeface="Calibri"/>
            </a:rPr>
            <a:t>: &gt;100×</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What it does</a:t>
          </a:r>
          <a:br/>
          <a:r>
            <a:rPr b="0" lang="en-AU" sz="1050" strike="noStrike" u="none">
              <a:solidFill>
                <a:schemeClr val="dk1"/>
              </a:solidFill>
              <a:effectLst/>
              <a:uFillTx/>
              <a:latin typeface="Calibri"/>
            </a:rPr>
            <a:t>Reddit is a community-based social platform monetising through ads, premium subscriptions, and data licensing.</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Investment case</a:t>
          </a:r>
          <a:br/>
          <a:r>
            <a:rPr b="0" lang="en-AU" sz="1050" strike="noStrike" u="none">
              <a:solidFill>
                <a:schemeClr val="dk1"/>
              </a:solidFill>
              <a:effectLst/>
              <a:uFillTx/>
              <a:latin typeface="Calibri"/>
            </a:rPr>
            <a:t>The most recent quarter was its most impressive to date: revenue up 78%, ad revenue up 84%, and a swing to profitability with strong free cash flow. User engagement is growing and its push into AI-powered search opens a new monetisation path. Valuation remains demanding, but earnings momentum and scale are shifting in its favour.</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Uber (UBER)</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Market Cap</a:t>
          </a:r>
          <a:r>
            <a:rPr b="0" lang="en-AU" sz="1050" strike="noStrike" u="none">
              <a:solidFill>
                <a:schemeClr val="dk1"/>
              </a:solidFill>
              <a:effectLst/>
              <a:uFillTx/>
              <a:latin typeface="Calibri"/>
            </a:rPr>
            <a:t>: ~US$190 b | </a:t>
          </a:r>
          <a:r>
            <a:rPr b="1" lang="en-AU" sz="1050" strike="noStrike" u="none">
              <a:solidFill>
                <a:schemeClr val="dk1"/>
              </a:solidFill>
              <a:effectLst/>
              <a:uFillTx/>
              <a:latin typeface="Calibri"/>
            </a:rPr>
            <a:t>EV</a:t>
          </a:r>
          <a:r>
            <a:rPr b="0" lang="en-AU" sz="1050" strike="noStrike" u="none">
              <a:solidFill>
                <a:schemeClr val="dk1"/>
              </a:solidFill>
              <a:effectLst/>
              <a:uFillTx/>
              <a:latin typeface="Calibri"/>
            </a:rPr>
            <a:t>: ~US$185 b | </a:t>
          </a:r>
          <a:r>
            <a:rPr b="1" lang="en-AU" sz="1050" strike="noStrike" u="none">
              <a:solidFill>
                <a:schemeClr val="dk1"/>
              </a:solidFill>
              <a:effectLst/>
              <a:uFillTx/>
              <a:latin typeface="Calibri"/>
            </a:rPr>
            <a:t>Forward EPS Growth</a:t>
          </a:r>
          <a:r>
            <a:rPr b="0" lang="en-AU" sz="1050" strike="noStrike" u="none">
              <a:solidFill>
                <a:schemeClr val="dk1"/>
              </a:solidFill>
              <a:effectLst/>
              <a:uFillTx/>
              <a:latin typeface="Calibri"/>
            </a:rPr>
            <a:t>: ~30% | </a:t>
          </a:r>
          <a:r>
            <a:rPr b="1" lang="en-AU" sz="1050" strike="noStrike" u="none">
              <a:solidFill>
                <a:schemeClr val="dk1"/>
              </a:solidFill>
              <a:effectLst/>
              <a:uFillTx/>
              <a:latin typeface="Calibri"/>
            </a:rPr>
            <a:t>Forward P/E</a:t>
          </a:r>
          <a:r>
            <a:rPr b="0" lang="en-AU" sz="1050" strike="noStrike" u="none">
              <a:solidFill>
                <a:schemeClr val="dk1"/>
              </a:solidFill>
              <a:effectLst/>
              <a:uFillTx/>
              <a:latin typeface="Calibri"/>
            </a:rPr>
            <a:t>: ~35×</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What it does</a:t>
          </a:r>
          <a:br/>
          <a:r>
            <a:rPr b="0" lang="en-AU" sz="1050" strike="noStrike" u="none">
              <a:solidFill>
                <a:schemeClr val="dk1"/>
              </a:solidFill>
              <a:effectLst/>
              <a:uFillTx/>
              <a:latin typeface="Calibri"/>
            </a:rPr>
            <a:t>Uber runs global ride-hailing, delivery, and logistics networks.</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Investment case</a:t>
          </a:r>
          <a:br/>
          <a:r>
            <a:rPr b="0" lang="en-AU" sz="1050" strike="noStrike" u="none">
              <a:solidFill>
                <a:schemeClr val="dk1"/>
              </a:solidFill>
              <a:effectLst/>
              <a:uFillTx/>
              <a:latin typeface="Calibri"/>
            </a:rPr>
            <a:t>It is often priced as if autonomous vehicles will disrupt its model, but more likely Uber becomes the platform for those vehicles to operate on. That keeps it central to the ecosystem, with upside from scale, data, and integration of self-driving tech. Risks are regulatory changes and competitive intensity.</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Ramelius Resources (ASX: RMS)</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Market Cap</a:t>
          </a:r>
          <a:r>
            <a:rPr b="0" lang="en-AU" sz="1050" strike="noStrike" u="none">
              <a:solidFill>
                <a:schemeClr val="dk1"/>
              </a:solidFill>
              <a:effectLst/>
              <a:uFillTx/>
              <a:latin typeface="Calibri"/>
            </a:rPr>
            <a:t>: ~A$2.5 b | </a:t>
          </a:r>
          <a:r>
            <a:rPr b="1" lang="en-AU" sz="1050" strike="noStrike" u="none">
              <a:solidFill>
                <a:schemeClr val="dk1"/>
              </a:solidFill>
              <a:effectLst/>
              <a:uFillTx/>
              <a:latin typeface="Calibri"/>
            </a:rPr>
            <a:t>EV</a:t>
          </a:r>
          <a:r>
            <a:rPr b="0" lang="en-AU" sz="1050" strike="noStrike" u="none">
              <a:solidFill>
                <a:schemeClr val="dk1"/>
              </a:solidFill>
              <a:effectLst/>
              <a:uFillTx/>
              <a:latin typeface="Calibri"/>
            </a:rPr>
            <a:t>: ~A$2.3 b | </a:t>
          </a:r>
          <a:r>
            <a:rPr b="1" lang="en-AU" sz="1050" strike="noStrike" u="none">
              <a:solidFill>
                <a:schemeClr val="dk1"/>
              </a:solidFill>
              <a:effectLst/>
              <a:uFillTx/>
              <a:latin typeface="Calibri"/>
            </a:rPr>
            <a:t>Forward EPS Growth</a:t>
          </a:r>
          <a:r>
            <a:rPr b="0" lang="en-AU" sz="1050" strike="noStrike" u="none">
              <a:solidFill>
                <a:schemeClr val="dk1"/>
              </a:solidFill>
              <a:effectLst/>
              <a:uFillTx/>
              <a:latin typeface="Calibri"/>
            </a:rPr>
            <a:t>: ~15% | </a:t>
          </a:r>
          <a:r>
            <a:rPr b="1" lang="en-AU" sz="1050" strike="noStrike" u="none">
              <a:solidFill>
                <a:schemeClr val="dk1"/>
              </a:solidFill>
              <a:effectLst/>
              <a:uFillTx/>
              <a:latin typeface="Calibri"/>
            </a:rPr>
            <a:t>Forward P/E</a:t>
          </a:r>
          <a:r>
            <a:rPr b="0" lang="en-AU" sz="1050" strike="noStrike" u="none">
              <a:solidFill>
                <a:schemeClr val="dk1"/>
              </a:solidFill>
              <a:effectLst/>
              <a:uFillTx/>
              <a:latin typeface="Calibri"/>
            </a:rPr>
            <a:t>: ~11×</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What it does</a:t>
          </a:r>
          <a:br/>
          <a:r>
            <a:rPr b="0" lang="en-AU" sz="1050" strike="noStrike" u="none">
              <a:solidFill>
                <a:schemeClr val="dk1"/>
              </a:solidFill>
              <a:effectLst/>
              <a:uFillTx/>
              <a:latin typeface="Calibri"/>
            </a:rPr>
            <a:t>Ramelius is a mid-tier Australian gold miner with operations in Western Australia.</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Investment case</a:t>
          </a:r>
          <a:br/>
          <a:r>
            <a:rPr b="0" lang="en-AU" sz="1050" strike="noStrike" u="none">
              <a:solidFill>
                <a:schemeClr val="dk1"/>
              </a:solidFill>
              <a:effectLst/>
              <a:uFillTx/>
              <a:latin typeface="Calibri"/>
            </a:rPr>
            <a:t>High gold price leverage and solid balance sheet. Low forward P/E vs peers makes it a value play. Risks include cost inflation and resource depletion.</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Tempus AI (TEM)</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Market Cap</a:t>
          </a:r>
          <a:r>
            <a:rPr b="0" lang="en-AU" sz="1050" strike="noStrike" u="none">
              <a:solidFill>
                <a:schemeClr val="dk1"/>
              </a:solidFill>
              <a:effectLst/>
              <a:uFillTx/>
              <a:latin typeface="Calibri"/>
            </a:rPr>
            <a:t>: ~US$6 b | </a:t>
          </a:r>
          <a:r>
            <a:rPr b="1" lang="en-AU" sz="1050" strike="noStrike" u="none">
              <a:solidFill>
                <a:schemeClr val="dk1"/>
              </a:solidFill>
              <a:effectLst/>
              <a:uFillTx/>
              <a:latin typeface="Calibri"/>
            </a:rPr>
            <a:t>EV</a:t>
          </a:r>
          <a:r>
            <a:rPr b="0" lang="en-AU" sz="1050" strike="noStrike" u="none">
              <a:solidFill>
                <a:schemeClr val="dk1"/>
              </a:solidFill>
              <a:effectLst/>
              <a:uFillTx/>
              <a:latin typeface="Calibri"/>
            </a:rPr>
            <a:t>: ~US$5.5 b | </a:t>
          </a:r>
          <a:r>
            <a:rPr b="1" lang="en-AU" sz="1050" strike="noStrike" u="none">
              <a:solidFill>
                <a:schemeClr val="dk1"/>
              </a:solidFill>
              <a:effectLst/>
              <a:uFillTx/>
              <a:latin typeface="Calibri"/>
            </a:rPr>
            <a:t>Forward EPS Growth</a:t>
          </a:r>
          <a:r>
            <a:rPr b="0" lang="en-AU" sz="1050" strike="noStrike" u="none">
              <a:solidFill>
                <a:schemeClr val="dk1"/>
              </a:solidFill>
              <a:effectLst/>
              <a:uFillTx/>
              <a:latin typeface="Calibri"/>
            </a:rPr>
            <a:t>: N/A | </a:t>
          </a:r>
          <a:r>
            <a:rPr b="1" lang="en-AU" sz="1050" strike="noStrike" u="none">
              <a:solidFill>
                <a:schemeClr val="dk1"/>
              </a:solidFill>
              <a:effectLst/>
              <a:uFillTx/>
              <a:latin typeface="Calibri"/>
            </a:rPr>
            <a:t>Forward P/E</a:t>
          </a:r>
          <a:r>
            <a:rPr b="0" lang="en-AU" sz="1050" strike="noStrike" u="none">
              <a:solidFill>
                <a:schemeClr val="dk1"/>
              </a:solidFill>
              <a:effectLst/>
              <a:uFillTx/>
              <a:latin typeface="Calibri"/>
            </a:rPr>
            <a:t>: N/A</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What it does</a:t>
          </a:r>
          <a:br/>
          <a:r>
            <a:rPr b="0" lang="en-AU" sz="1050" strike="noStrike" u="none">
              <a:solidFill>
                <a:schemeClr val="dk1"/>
              </a:solidFill>
              <a:effectLst/>
              <a:uFillTx/>
              <a:latin typeface="Calibri"/>
            </a:rPr>
            <a:t>Tempus develops AI-driven diagnostics and precision medicine tools using large datasets in oncology and other medical fields.</a:t>
          </a:r>
          <a:endParaRPr b="0" lang="en-IN" sz="1050" strike="noStrike" u="none">
            <a:effectLst/>
            <a:uFillTx/>
            <a:latin typeface="Times New Roman"/>
          </a:endParaRPr>
        </a:p>
        <a:p>
          <a:pPr defTabSz="457200">
            <a:lnSpc>
              <a:spcPct val="100000"/>
            </a:lnSpc>
            <a:tabLst>
              <a:tab algn="l" pos="0"/>
            </a:tabLst>
          </a:pPr>
          <a:r>
            <a:rPr b="1" lang="en-AU" sz="1050" strike="noStrike" u="none">
              <a:solidFill>
                <a:schemeClr val="dk1"/>
              </a:solidFill>
              <a:effectLst/>
              <a:uFillTx/>
              <a:latin typeface="Calibri"/>
            </a:rPr>
            <a:t>Investment case</a:t>
          </a:r>
          <a:br/>
          <a:r>
            <a:rPr b="0" lang="en-AU" sz="1050" strike="noStrike" u="none">
              <a:solidFill>
                <a:schemeClr val="dk1"/>
              </a:solidFill>
              <a:effectLst/>
              <a:uFillTx/>
              <a:latin typeface="Calibri"/>
            </a:rPr>
            <a:t>Large TAM in healthcare AI, strong growth trajectory, and partnerships with major pharma. Risks: unproven profitability and heavy competition in healthtech.</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00000"/>
            </a:lnSpc>
            <a:tabLst>
              <a:tab algn="l" pos="0"/>
            </a:tabLst>
          </a:pPr>
          <a:r>
            <a:rPr b="0" lang="en-AU" sz="1050" strike="noStrike" u="none">
              <a:solidFill>
                <a:schemeClr val="dk1"/>
              </a:solidFill>
              <a:effectLst/>
              <a:uFillTx/>
              <a:latin typeface="Calibri"/>
            </a:rPr>
            <a:t>Thank you for your support. Call any time if you would like more detail.</a:t>
          </a:r>
          <a:endParaRPr b="0" lang="en-IN" sz="1050" strike="noStrike" u="none">
            <a:effectLst/>
            <a:uFillTx/>
            <a:latin typeface="Times New Roman"/>
          </a:endParaRPr>
        </a:p>
        <a:p>
          <a:pPr defTabSz="457200">
            <a:lnSpc>
              <a:spcPct val="10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r>
            <a:rPr b="0" lang="en-AU" sz="1800" strike="noStrike" u="none">
              <a:solidFill>
                <a:schemeClr val="dk1"/>
              </a:solidFill>
              <a:effectLst/>
              <a:uFillTx/>
              <a:latin typeface="Calibri"/>
            </a:rPr>
            <a:t> </a:t>
          </a:r>
          <a:r>
            <a:rPr b="0" lang="en-AU" sz="1050" strike="noStrike" u="none">
              <a:solidFill>
                <a:schemeClr val="dk1"/>
              </a:solidFill>
              <a:effectLst/>
              <a:uFillTx/>
              <a:latin typeface="Calibri"/>
            </a:rPr>
            <a:t> </a:t>
          </a: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r>
            <a:rPr b="0" lang="en-AU" sz="1800" strike="noStrike" u="none">
              <a:solidFill>
                <a:schemeClr val="dk1"/>
              </a:solidFill>
              <a:effectLst/>
              <a:uFillTx/>
              <a:latin typeface="Calibri"/>
            </a:rPr>
            <a:t> </a:t>
          </a:r>
          <a:r>
            <a:rPr b="0" lang="en-AU" sz="1050" strike="noStrike" u="none">
              <a:solidFill>
                <a:schemeClr val="dk1"/>
              </a:solidFill>
              <a:effectLst/>
              <a:uFillTx/>
              <a:latin typeface="Calibri"/>
            </a:rPr>
            <a:t> </a:t>
          </a: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defTabSz="457200">
            <a:lnSpc>
              <a:spcPct val="150000"/>
            </a:lnSpc>
            <a:tabLst>
              <a:tab algn="l" pos="0"/>
            </a:tabLst>
          </a:pPr>
          <a:endParaRPr b="0" lang="en-IN" sz="1050" strike="noStrike" u="none">
            <a:effectLst/>
            <a:uFillTx/>
            <a:latin typeface="Times New Roman"/>
          </a:endParaRPr>
        </a:p>
        <a:p>
          <a:pPr algn="ctr" defTabSz="457200">
            <a:lnSpc>
              <a:spcPct val="150000"/>
            </a:lnSpc>
            <a:tabLst>
              <a:tab algn="l" pos="0"/>
            </a:tabLst>
          </a:pPr>
          <a:endParaRPr b="0" lang="en-IN" sz="1050" strike="noStrike" u="none">
            <a:effectLst/>
            <a:uFillTx/>
            <a:latin typeface="Times New Roman"/>
          </a:endParaRPr>
        </a:p>
        <a:p>
          <a:pPr algn="ctr" defTabSz="457200">
            <a:lnSpc>
              <a:spcPct val="100000"/>
            </a:lnSpc>
            <a:tabLst>
              <a:tab algn="l" pos="0"/>
            </a:tabLst>
          </a:pPr>
          <a:endParaRPr b="0" lang="en-IN" sz="1600" strike="noStrike" u="none">
            <a:effectLst/>
            <a:uFillTx/>
            <a:latin typeface="Times New Roman"/>
          </a:endParaRPr>
        </a:p>
      </xdr:txBody>
    </xdr:sp>
    <xdr:clientData/>
  </xdr:twoCellAnchor>
  <xdr:twoCellAnchor editAs="oneCell">
    <xdr:from>
      <xdr:col>16</xdr:col>
      <xdr:colOff>531000</xdr:colOff>
      <xdr:row>34</xdr:row>
      <xdr:rowOff>150840</xdr:rowOff>
    </xdr:from>
    <xdr:to>
      <xdr:col>25</xdr:col>
      <xdr:colOff>268920</xdr:colOff>
      <xdr:row>41</xdr:row>
      <xdr:rowOff>81000</xdr:rowOff>
    </xdr:to>
    <xdr:pic>
      <xdr:nvPicPr>
        <xdr:cNvPr id="4" name="Picture 5" descr=""/>
        <xdr:cNvPicPr/>
      </xdr:nvPicPr>
      <xdr:blipFill>
        <a:blip r:embed="rId2"/>
        <a:stretch/>
      </xdr:blipFill>
      <xdr:spPr>
        <a:xfrm>
          <a:off x="12564720" y="7199280"/>
          <a:ext cx="5103360" cy="1157040"/>
        </a:xfrm>
        <a:prstGeom prst="rect">
          <a:avLst/>
        </a:prstGeom>
        <a:noFill/>
        <a:ln w="0">
          <a:noFill/>
        </a:ln>
      </xdr:spPr>
    </xdr:pic>
    <xdr:clientData/>
  </xdr:twoCellAnchor>
  <xdr:twoCellAnchor editAs="oneCell">
    <xdr:from>
      <xdr:col>27</xdr:col>
      <xdr:colOff>155880</xdr:colOff>
      <xdr:row>33</xdr:row>
      <xdr:rowOff>74520</xdr:rowOff>
    </xdr:from>
    <xdr:to>
      <xdr:col>30</xdr:col>
      <xdr:colOff>294480</xdr:colOff>
      <xdr:row>41</xdr:row>
      <xdr:rowOff>68400</xdr:rowOff>
    </xdr:to>
    <xdr:pic>
      <xdr:nvPicPr>
        <xdr:cNvPr id="5" name="Picture 9" descr=""/>
        <xdr:cNvPicPr/>
      </xdr:nvPicPr>
      <xdr:blipFill>
        <a:blip r:embed="rId3"/>
        <a:stretch/>
      </xdr:blipFill>
      <xdr:spPr>
        <a:xfrm>
          <a:off x="18692280" y="6947640"/>
          <a:ext cx="2121480" cy="1396080"/>
        </a:xfrm>
        <a:prstGeom prst="rect">
          <a:avLst/>
        </a:prstGeom>
        <a:noFill/>
        <a:ln w="0">
          <a:noFill/>
        </a:ln>
      </xdr:spPr>
    </xdr:pic>
    <xdr:clientData/>
  </xdr:twoCellAnchor>
  <xdr:twoCellAnchor editAs="oneCell">
    <xdr:from>
      <xdr:col>3</xdr:col>
      <xdr:colOff>129960</xdr:colOff>
      <xdr:row>131</xdr:row>
      <xdr:rowOff>166680</xdr:rowOff>
    </xdr:from>
    <xdr:to>
      <xdr:col>5</xdr:col>
      <xdr:colOff>763200</xdr:colOff>
      <xdr:row>138</xdr:row>
      <xdr:rowOff>156240</xdr:rowOff>
    </xdr:to>
    <xdr:pic>
      <xdr:nvPicPr>
        <xdr:cNvPr id="6" name="Picture 11" descr=""/>
        <xdr:cNvPicPr/>
      </xdr:nvPicPr>
      <xdr:blipFill>
        <a:blip r:embed="rId4"/>
        <a:stretch/>
      </xdr:blipFill>
      <xdr:spPr>
        <a:xfrm>
          <a:off x="1166400" y="27597240"/>
          <a:ext cx="2365560" cy="1483200"/>
        </a:xfrm>
        <a:prstGeom prst="rect">
          <a:avLst/>
        </a:prstGeom>
        <a:noFill/>
        <a:ln w="0">
          <a:noFill/>
        </a:ln>
      </xdr:spPr>
    </xdr:pic>
    <xdr:clientData/>
  </xdr:twoCellAnchor>
  <xdr:twoCellAnchor editAs="oneCell">
    <xdr:from>
      <xdr:col>2</xdr:col>
      <xdr:colOff>90000</xdr:colOff>
      <xdr:row>57</xdr:row>
      <xdr:rowOff>186480</xdr:rowOff>
    </xdr:from>
    <xdr:to>
      <xdr:col>9</xdr:col>
      <xdr:colOff>348840</xdr:colOff>
      <xdr:row>72</xdr:row>
      <xdr:rowOff>88560</xdr:rowOff>
    </xdr:to>
    <xdr:graphicFrame>
      <xdr:nvGraphicFramePr>
        <xdr:cNvPr id="7" name="Chart 2"/>
        <xdr:cNvGraphicFramePr/>
      </xdr:nvGraphicFramePr>
      <xdr:xfrm>
        <a:off x="1015920" y="12523320"/>
        <a:ext cx="5565960" cy="3345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603360</xdr:colOff>
      <xdr:row>57</xdr:row>
      <xdr:rowOff>197280</xdr:rowOff>
    </xdr:from>
    <xdr:to>
      <xdr:col>15</xdr:col>
      <xdr:colOff>269640</xdr:colOff>
      <xdr:row>73</xdr:row>
      <xdr:rowOff>40680</xdr:rowOff>
    </xdr:to>
    <xdr:graphicFrame>
      <xdr:nvGraphicFramePr>
        <xdr:cNvPr id="8" name="Chart 8"/>
        <xdr:cNvGraphicFramePr/>
      </xdr:nvGraphicFramePr>
      <xdr:xfrm>
        <a:off x="6836400" y="12534120"/>
        <a:ext cx="4863240" cy="3461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twoCell">
    <xdr:from>
      <xdr:col>14</xdr:col>
      <xdr:colOff>438840</xdr:colOff>
      <xdr:row>118</xdr:row>
      <xdr:rowOff>60120</xdr:rowOff>
    </xdr:from>
    <xdr:to>
      <xdr:col>15</xdr:col>
      <xdr:colOff>603360</xdr:colOff>
      <xdr:row>141</xdr:row>
      <xdr:rowOff>78840</xdr:rowOff>
    </xdr:to>
    <xdr:sp>
      <xdr:nvSpPr>
        <xdr:cNvPr id="9" name="TextBox 30"/>
        <xdr:cNvSpPr/>
      </xdr:nvSpPr>
      <xdr:spPr>
        <a:xfrm>
          <a:off x="11002680" y="24698160"/>
          <a:ext cx="1030680" cy="4819320"/>
        </a:xfrm>
        <a:prstGeom prst="rect">
          <a:avLst/>
        </a:prstGeom>
        <a:noFill/>
        <a:ln w="9525">
          <a:noFill/>
        </a:ln>
      </xdr:spPr>
      <xdr:style>
        <a:lnRef idx="0"/>
        <a:fillRef idx="0"/>
        <a:effectRef idx="0"/>
        <a:fontRef idx="minor"/>
      </xdr:style>
      <xdr:txBody>
        <a:bodyPr horzOverflow="clip" vertOverflow="clip" lIns="90000" rIns="90000" tIns="45000" bIns="45000" anchor="ctr">
          <a:noAutofit/>
        </a:bodyPr>
        <a:p>
          <a:pPr algn="ctr">
            <a:lnSpc>
              <a:spcPct val="100000"/>
            </a:lnSpc>
          </a:pPr>
          <a:r>
            <a:rPr b="1" lang="en-AU" sz="2200" strike="noStrike" u="none">
              <a:solidFill>
                <a:schemeClr val="lt1"/>
              </a:solidFill>
              <a:effectLst/>
              <a:uFillTx/>
              <a:latin typeface="Montserrat"/>
            </a:rPr>
            <a:t>THE LASER BEAM FUND</a:t>
          </a:r>
          <a:endParaRPr b="0" lang="en-IN" sz="2200" strike="noStrike" u="none">
            <a:effectLst/>
            <a:uFillTx/>
            <a:latin typeface="Times New Roman"/>
          </a:endParaRPr>
        </a:p>
        <a:p>
          <a:pPr>
            <a:lnSpc>
              <a:spcPct val="100000"/>
            </a:lnSpc>
            <a:tabLst>
              <a:tab algn="l" pos="0"/>
            </a:tabLst>
          </a:pPr>
          <a:endParaRPr b="0" lang="en-IN" sz="1100" strike="noStrike" u="none">
            <a:effectLst/>
            <a:uFillTx/>
            <a:latin typeface="Times New Roman"/>
          </a:endParaRPr>
        </a:p>
        <a:p>
          <a:pPr>
            <a:lnSpc>
              <a:spcPct val="100000"/>
            </a:lnSpc>
            <a:tabLst>
              <a:tab algn="l" pos="0"/>
            </a:tabLst>
          </a:pPr>
          <a:r>
            <a:rPr b="1" lang="en-AU" sz="1500" strike="noStrike" u="none">
              <a:solidFill>
                <a:schemeClr val="lt1"/>
              </a:solidFill>
              <a:effectLst/>
              <a:uFillTx/>
              <a:latin typeface="Montserrat"/>
            </a:rPr>
            <a:t>Monthly Report - August 2025</a:t>
          </a:r>
          <a:endParaRPr b="0" lang="en-IN" sz="1500" strike="noStrike" u="none">
            <a:effectLst/>
            <a:uFillTx/>
            <a:latin typeface="Times New Roman"/>
          </a:endParaRPr>
        </a:p>
        <a:p>
          <a:pPr>
            <a:lnSpc>
              <a:spcPct val="100000"/>
            </a:lnSpc>
            <a:tabLst>
              <a:tab algn="l" pos="0"/>
            </a:tabLst>
          </a:pPr>
          <a:endParaRPr b="0" lang="en-IN" sz="1500" strike="noStrike" u="none">
            <a:effectLst/>
            <a:uFillTx/>
            <a:latin typeface="Times New Roman"/>
          </a:endParaRPr>
        </a:p>
        <a:p>
          <a:pPr>
            <a:lnSpc>
              <a:spcPct val="100000"/>
            </a:lnSpc>
            <a:tabLst>
              <a:tab algn="l" pos="0"/>
            </a:tabLst>
          </a:pPr>
          <a:r>
            <a:rPr b="0" lang="en-AU" sz="1100" strike="noStrike" u="none">
              <a:solidFill>
                <a:schemeClr val="lt1"/>
              </a:solidFill>
              <a:effectLst/>
              <a:uFillTx/>
              <a:latin typeface="Montserrat"/>
            </a:rPr>
            <a:t>Wholesale Investors | Post Fee Returns | Global L/S</a:t>
          </a:r>
          <a:endParaRPr b="0" lang="en-IN" sz="1100" strike="noStrike" u="none">
            <a:effectLst/>
            <a:uFillTx/>
            <a:latin typeface="Times New Roman"/>
          </a:endParaRPr>
        </a:p>
      </xdr:txBody>
    </xdr:sp>
    <xdr:clientData/>
  </xdr:twoCellAnchor>
  <xdr:twoCellAnchor editAs="twoCell">
    <xdr:from>
      <xdr:col>17</xdr:col>
      <xdr:colOff>578520</xdr:colOff>
      <xdr:row>8</xdr:row>
      <xdr:rowOff>262800</xdr:rowOff>
    </xdr:from>
    <xdr:to>
      <xdr:col>37</xdr:col>
      <xdr:colOff>83520</xdr:colOff>
      <xdr:row>29</xdr:row>
      <xdr:rowOff>167400</xdr:rowOff>
    </xdr:to>
    <xdr:grpSp>
      <xdr:nvGrpSpPr>
        <xdr:cNvPr id="10" name="Group 46"/>
        <xdr:cNvGrpSpPr/>
      </xdr:nvGrpSpPr>
      <xdr:grpSpPr>
        <a:xfrm>
          <a:off x="13387680" y="1872360"/>
          <a:ext cx="11462760" cy="4467240"/>
          <a:chOff x="13387680" y="1872360"/>
          <a:chExt cx="11462760" cy="4467240"/>
        </a:xfrm>
      </xdr:grpSpPr>
      <xdr:sp>
        <xdr:nvSpPr>
          <xdr:cNvPr id="11" name="Picture 43"/>
          <xdr:cNvSpPr/>
        </xdr:nvSpPr>
        <xdr:spPr>
          <a:xfrm>
            <a:off x="13387680" y="1872360"/>
            <a:ext cx="11462760" cy="3193920"/>
          </a:xfrm>
          <a:prstGeom prst="roundRect">
            <a:avLst>
              <a:gd name="adj" fmla="val 8594"/>
            </a:avLst>
          </a:prstGeom>
          <a:blipFill rotWithShape="0">
            <a:blip r:embed="rId7"/>
            <a:srcRect/>
            <a:stretch/>
          </a:blipFill>
          <a:ln w="0">
            <a:noFill/>
          </a:ln>
          <a:effectLst>
            <a:reflection algn="bl" blurRad="12700" dir="5400000" dist="5000" endPos="28000" rotWithShape="0" stA="38000" sy="-100000"/>
          </a:effectLst>
        </xdr:spPr>
        <xdr:style>
          <a:lnRef idx="0"/>
          <a:fillRef idx="0"/>
          <a:effectRef idx="0"/>
          <a:fontRef idx="minor"/>
        </xdr:style>
      </xdr:sp>
      <xdr:sp>
        <xdr:nvSpPr>
          <xdr:cNvPr id="12" name="TextBox 44"/>
          <xdr:cNvSpPr/>
        </xdr:nvSpPr>
        <xdr:spPr>
          <a:xfrm>
            <a:off x="13583520" y="1940760"/>
            <a:ext cx="5900040" cy="3068280"/>
          </a:xfrm>
          <a:prstGeom prst="rect">
            <a:avLst/>
          </a:prstGeom>
          <a:noFill/>
          <a:ln w="9525">
            <a:noFill/>
          </a:ln>
        </xdr:spPr>
        <xdr:style>
          <a:lnRef idx="0"/>
          <a:fillRef idx="0"/>
          <a:effectRef idx="0"/>
          <a:fontRef idx="minor"/>
        </xdr:style>
        <xdr:txBody>
          <a:bodyPr horzOverflow="clip" vertOverflow="clip" lIns="90000" rIns="90000" tIns="45000" bIns="45000" anchor="ctr">
            <a:noAutofit/>
          </a:bodyPr>
          <a:p>
            <a:pPr>
              <a:lnSpc>
                <a:spcPct val="100000"/>
              </a:lnSpc>
            </a:pPr>
            <a:r>
              <a:rPr b="1" lang="en-AU" sz="3200" strike="noStrike" u="none">
                <a:solidFill>
                  <a:schemeClr val="lt1"/>
                </a:solidFill>
                <a:effectLst/>
                <a:uFillTx/>
                <a:latin typeface="Montserrat"/>
              </a:rPr>
              <a:t>THE LASER BEAM FUND</a:t>
            </a:r>
            <a:endParaRPr b="0" lang="en-IN" sz="3200" strike="noStrike" u="none">
              <a:effectLst/>
              <a:uFillTx/>
              <a:latin typeface="Times New Roman"/>
            </a:endParaRPr>
          </a:p>
          <a:p>
            <a:pPr>
              <a:lnSpc>
                <a:spcPct val="100000"/>
              </a:lnSpc>
              <a:tabLst>
                <a:tab algn="l" pos="0"/>
              </a:tabLst>
            </a:pPr>
            <a:endParaRPr b="0" lang="en-IN" sz="1600" strike="noStrike" u="none">
              <a:effectLst/>
              <a:uFillTx/>
              <a:latin typeface="Times New Roman"/>
            </a:endParaRPr>
          </a:p>
          <a:p>
            <a:pPr>
              <a:lnSpc>
                <a:spcPct val="100000"/>
              </a:lnSpc>
              <a:tabLst>
                <a:tab algn="l" pos="0"/>
              </a:tabLst>
            </a:pPr>
            <a:r>
              <a:rPr b="1" lang="en-AU" sz="2050" strike="noStrike" u="none">
                <a:solidFill>
                  <a:schemeClr val="lt1"/>
                </a:solidFill>
                <a:effectLst/>
                <a:uFillTx/>
                <a:latin typeface="Montserrat"/>
              </a:rPr>
              <a:t>Monthly Report - September 2025</a:t>
            </a:r>
            <a:endParaRPr b="0" lang="en-IN" sz="2050" strike="noStrike" u="none">
              <a:effectLst/>
              <a:uFillTx/>
              <a:latin typeface="Times New Roman"/>
            </a:endParaRPr>
          </a:p>
          <a:p>
            <a:pPr>
              <a:lnSpc>
                <a:spcPct val="100000"/>
              </a:lnSpc>
              <a:tabLst>
                <a:tab algn="l" pos="0"/>
              </a:tabLst>
            </a:pPr>
            <a:endParaRPr b="0" lang="en-IN" sz="2000" strike="noStrike" u="none">
              <a:effectLst/>
              <a:uFillTx/>
              <a:latin typeface="Times New Roman"/>
            </a:endParaRPr>
          </a:p>
          <a:p>
            <a:pPr>
              <a:lnSpc>
                <a:spcPct val="100000"/>
              </a:lnSpc>
              <a:tabLst>
                <a:tab algn="l" pos="0"/>
              </a:tabLst>
            </a:pPr>
            <a:r>
              <a:rPr b="0" lang="en-AU" sz="1400" strike="noStrike" u="none">
                <a:solidFill>
                  <a:schemeClr val="lt1"/>
                </a:solidFill>
                <a:effectLst/>
                <a:uFillTx/>
                <a:latin typeface="Montserrat"/>
              </a:rPr>
              <a:t>Wholesale Investors | Post Fee Returns | Global L/S</a:t>
            </a:r>
            <a:endParaRPr b="0" lang="en-IN" sz="1400" strike="noStrike" u="none">
              <a:effectLst/>
              <a:uFillTx/>
              <a:latin typeface="Times New Roman"/>
            </a:endParaRPr>
          </a:p>
        </xdr:txBody>
      </xdr:sp>
      <xdr:sp>
        <xdr:nvSpPr>
          <xdr:cNvPr id="13" name="TextBox 45"/>
          <xdr:cNvSpPr/>
        </xdr:nvSpPr>
        <xdr:spPr>
          <a:xfrm>
            <a:off x="13411440" y="4607280"/>
            <a:ext cx="11387160" cy="1732320"/>
          </a:xfrm>
          <a:prstGeom prst="rect">
            <a:avLst/>
          </a:prstGeom>
          <a:noFill/>
          <a:ln w="9525">
            <a:noFill/>
          </a:ln>
        </xdr:spPr>
        <xdr:style>
          <a:lnRef idx="0"/>
          <a:fillRef idx="0"/>
          <a:effectRef idx="0"/>
          <a:fontRef idx="minor"/>
        </xdr:style>
        <xdr:txBody>
          <a:bodyPr horzOverflow="clip" vertOverflow="clip" lIns="90000" rIns="90000" tIns="45000" bIns="45000" anchor="ctr">
            <a:noAutofit/>
          </a:bodyPr>
          <a:p>
            <a:pPr algn="ctr">
              <a:lnSpc>
                <a:spcPct val="100000"/>
              </a:lnSpc>
            </a:pPr>
            <a:r>
              <a:rPr b="0" lang="en-AU" sz="1700" strike="noStrike" u="none">
                <a:solidFill>
                  <a:srgbClr val="000000"/>
                </a:solidFill>
                <a:effectLst/>
                <a:uFillTx/>
                <a:latin typeface="Montserrat"/>
              </a:rPr>
              <a:t>A global focused fund built to capitalise on market asymmetry </a:t>
            </a:r>
            <a:endParaRPr b="0" lang="en-IN" sz="1700" strike="noStrike" u="none">
              <a:effectLst/>
              <a:uFillTx/>
              <a:latin typeface="Times New Roman"/>
            </a:endParaRPr>
          </a:p>
        </xdr:txBody>
      </xdr:sp>
    </xdr:grpSp>
    <xdr:clientData/>
  </xdr:twoCellAnchor>
  <xdr:twoCellAnchor editAs="oneCell">
    <xdr:from>
      <xdr:col>36</xdr:col>
      <xdr:colOff>545760</xdr:colOff>
      <xdr:row>112</xdr:row>
      <xdr:rowOff>45000</xdr:rowOff>
    </xdr:from>
    <xdr:to>
      <xdr:col>48</xdr:col>
      <xdr:colOff>256680</xdr:colOff>
      <xdr:row>132</xdr:row>
      <xdr:rowOff>78480</xdr:rowOff>
    </xdr:to>
    <xdr:pic>
      <xdr:nvPicPr>
        <xdr:cNvPr id="14" name="Picture 53" descr=""/>
        <xdr:cNvPicPr/>
      </xdr:nvPicPr>
      <xdr:blipFill>
        <a:blip r:embed="rId8"/>
        <a:stretch/>
      </xdr:blipFill>
      <xdr:spPr>
        <a:xfrm>
          <a:off x="24708960" y="23168520"/>
          <a:ext cx="6957360" cy="4561200"/>
        </a:xfrm>
        <a:prstGeom prst="rect">
          <a:avLst/>
        </a:prstGeom>
        <a:noFill/>
        <a:ln w="0">
          <a:noFill/>
        </a:ln>
      </xdr:spPr>
    </xdr:pic>
    <xdr:clientData/>
  </xdr:twoCellAnchor>
  <xdr:twoCellAnchor editAs="oneCell">
    <xdr:from>
      <xdr:col>37</xdr:col>
      <xdr:colOff>74160</xdr:colOff>
      <xdr:row>135</xdr:row>
      <xdr:rowOff>207360</xdr:rowOff>
    </xdr:from>
    <xdr:to>
      <xdr:col>42</xdr:col>
      <xdr:colOff>568080</xdr:colOff>
      <xdr:row>160</xdr:row>
      <xdr:rowOff>77760</xdr:rowOff>
    </xdr:to>
    <xdr:pic>
      <xdr:nvPicPr>
        <xdr:cNvPr id="15" name="Picture 54" descr=""/>
        <xdr:cNvPicPr/>
      </xdr:nvPicPr>
      <xdr:blipFill>
        <a:blip r:embed="rId9"/>
        <a:stretch/>
      </xdr:blipFill>
      <xdr:spPr>
        <a:xfrm>
          <a:off x="24841080" y="28519560"/>
          <a:ext cx="3513240" cy="4254480"/>
        </a:xfrm>
        <a:prstGeom prst="rect">
          <a:avLst/>
        </a:prstGeom>
        <a:noFill/>
        <a:ln w="0">
          <a:noFill/>
        </a:ln>
      </xdr:spPr>
    </xdr:pic>
    <xdr:clientData/>
  </xdr:twoCellAnchor>
  <xdr:twoCellAnchor editAs="twoCell">
    <xdr:from>
      <xdr:col>1</xdr:col>
      <xdr:colOff>112320</xdr:colOff>
      <xdr:row>98</xdr:row>
      <xdr:rowOff>17280</xdr:rowOff>
    </xdr:from>
    <xdr:to>
      <xdr:col>14</xdr:col>
      <xdr:colOff>490320</xdr:colOff>
      <xdr:row>103</xdr:row>
      <xdr:rowOff>136440</xdr:rowOff>
    </xdr:to>
    <xdr:sp>
      <xdr:nvSpPr>
        <xdr:cNvPr id="16" name="TextBox 4"/>
        <xdr:cNvSpPr/>
      </xdr:nvSpPr>
      <xdr:spPr>
        <a:xfrm>
          <a:off x="716040" y="20353680"/>
          <a:ext cx="10338120" cy="1001160"/>
        </a:xfrm>
        <a:prstGeom prst="rect">
          <a:avLst/>
        </a:prstGeom>
        <a:noFill/>
        <a:ln w="0">
          <a:noFill/>
        </a:ln>
      </xdr:spPr>
      <xdr:style>
        <a:lnRef idx="0"/>
        <a:fillRef idx="0"/>
        <a:effectRef idx="0"/>
        <a:fontRef idx="minor"/>
      </xdr:style>
      <xdr:txBody>
        <a:bodyPr lIns="90000" rIns="90000" tIns="45000" bIns="45000" anchor="t">
          <a:noAutofit/>
        </a:bodyPr>
        <a:p>
          <a:pPr defTabSz="457200">
            <a:lnSpc>
              <a:spcPct val="100000"/>
            </a:lnSpc>
          </a:pPr>
          <a:r>
            <a:rPr b="1" lang="en-AU" sz="1500" strike="noStrike" u="none">
              <a:solidFill>
                <a:srgbClr val="000000"/>
              </a:solidFill>
              <a:effectLst/>
              <a:uFillTx/>
              <a:latin typeface="Montserrat"/>
            </a:rPr>
            <a:t>HEDGING</a:t>
          </a:r>
          <a:endParaRPr b="0" lang="en-IN" sz="1500" strike="noStrike" u="none">
            <a:effectLst/>
            <a:uFillTx/>
            <a:latin typeface="Times New Roman"/>
          </a:endParaRPr>
        </a:p>
        <a:p>
          <a:pPr defTabSz="457200">
            <a:lnSpc>
              <a:spcPct val="100000"/>
            </a:lnSpc>
          </a:pPr>
          <a:r>
            <a:rPr b="0" lang="en-AU" sz="1050" strike="noStrike" u="none">
              <a:solidFill>
                <a:schemeClr val="dk1"/>
              </a:solidFill>
              <a:effectLst/>
              <a:uFillTx/>
              <a:latin typeface="Montserrat"/>
            </a:rPr>
            <a: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 Hedge size lifts into event risk and leadership extremes, then is reduced into dislocations so we can buy weakness. We also use factor, sector and currency hedges when they better match the risk than broad index protection.</a:t>
          </a:r>
          <a:endParaRPr b="0" lang="en-IN" sz="1050" strike="noStrike" u="none">
            <a:effectLst/>
            <a:uFillTx/>
            <a:latin typeface="Times New Roman"/>
          </a:endParaRPr>
        </a:p>
      </xdr:txBody>
    </xdr:sp>
    <xdr:clientData/>
  </xdr:twoCellAnchor>
  <xdr:twoCellAnchor editAs="twoCell">
    <xdr:from>
      <xdr:col>2</xdr:col>
      <xdr:colOff>107280</xdr:colOff>
      <xdr:row>83</xdr:row>
      <xdr:rowOff>154440</xdr:rowOff>
    </xdr:from>
    <xdr:to>
      <xdr:col>14</xdr:col>
      <xdr:colOff>777600</xdr:colOff>
      <xdr:row>89</xdr:row>
      <xdr:rowOff>104040</xdr:rowOff>
    </xdr:to>
    <xdr:sp>
      <xdr:nvSpPr>
        <xdr:cNvPr id="17" name="TextBox 4"/>
        <xdr:cNvSpPr/>
      </xdr:nvSpPr>
      <xdr:spPr>
        <a:xfrm>
          <a:off x="1033200" y="17862120"/>
          <a:ext cx="10308240" cy="1001160"/>
        </a:xfrm>
        <a:prstGeom prst="rect">
          <a:avLst/>
        </a:prstGeom>
        <a:noFill/>
        <a:ln w="0">
          <a:noFill/>
        </a:ln>
      </xdr:spPr>
      <xdr:style>
        <a:lnRef idx="0"/>
        <a:fillRef idx="0"/>
        <a:effectRef idx="0"/>
        <a:fontRef idx="minor"/>
      </xdr:style>
      <xdr:txBody>
        <a:bodyPr lIns="90000" rIns="90000" tIns="45000" bIns="45000" anchor="t">
          <a:noAutofit/>
        </a:bodyPr>
        <a:p>
          <a:pPr defTabSz="457200">
            <a:lnSpc>
              <a:spcPct val="100000"/>
            </a:lnSpc>
          </a:pPr>
          <a:r>
            <a:rPr b="1" lang="en-AU" sz="1500" strike="noStrike" u="none">
              <a:solidFill>
                <a:srgbClr val="000000"/>
              </a:solidFill>
              <a:effectLst/>
              <a:uFillTx/>
              <a:latin typeface="Montserrat"/>
            </a:rPr>
            <a:t>AI ANALYST</a:t>
          </a:r>
          <a:endParaRPr b="0" lang="en-IN" sz="1500" strike="noStrike" u="none">
            <a:effectLst/>
            <a:uFillTx/>
            <a:latin typeface="Times New Roman"/>
          </a:endParaRPr>
        </a:p>
        <a:p>
          <a:pPr defTabSz="457200">
            <a:lnSpc>
              <a:spcPct val="100000"/>
            </a:lnSpc>
          </a:pPr>
          <a:r>
            <a:rPr b="0" lang="en-AU" sz="1050" strike="noStrike" u="none">
              <a:solidFill>
                <a:schemeClr val="dk1"/>
              </a:solidFill>
              <a:effectLst/>
              <a:uFillTx/>
              <a:latin typeface="Montserrat"/>
            </a:rPr>
            <a: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a:t>
          </a:r>
          <a:endParaRPr b="0" lang="en-IN" sz="1050" strike="noStrike" u="none">
            <a:effectLst/>
            <a:uFillTx/>
            <a:latin typeface="Times New Roman"/>
          </a:endParaRPr>
        </a:p>
      </xdr:txBody>
    </xdr:sp>
    <xdr:clientData/>
  </xdr:twoCellAnchor>
  <xdr:twoCellAnchor editAs="twoCell">
    <xdr:from>
      <xdr:col>2</xdr:col>
      <xdr:colOff>84240</xdr:colOff>
      <xdr:row>91</xdr:row>
      <xdr:rowOff>6840</xdr:rowOff>
    </xdr:from>
    <xdr:to>
      <xdr:col>14</xdr:col>
      <xdr:colOff>840960</xdr:colOff>
      <xdr:row>96</xdr:row>
      <xdr:rowOff>109800</xdr:rowOff>
    </xdr:to>
    <xdr:sp>
      <xdr:nvSpPr>
        <xdr:cNvPr id="18" name="TextBox 6"/>
        <xdr:cNvSpPr/>
      </xdr:nvSpPr>
      <xdr:spPr>
        <a:xfrm>
          <a:off x="1010160" y="19116360"/>
          <a:ext cx="10394640" cy="979560"/>
        </a:xfrm>
        <a:prstGeom prst="rect">
          <a:avLst/>
        </a:prstGeom>
        <a:noFill/>
        <a:ln w="0">
          <a:noFill/>
        </a:ln>
      </xdr:spPr>
      <xdr:style>
        <a:lnRef idx="0"/>
        <a:fillRef idx="0"/>
        <a:effectRef idx="0"/>
        <a:fontRef idx="minor"/>
      </xdr:style>
      <xdr:txBody>
        <a:bodyPr lIns="90000" rIns="90000" tIns="45000" bIns="45000" anchor="t">
          <a:noAutofit/>
        </a:bodyPr>
        <a:p>
          <a:pPr defTabSz="457200">
            <a:lnSpc>
              <a:spcPct val="100000"/>
            </a:lnSpc>
          </a:pPr>
          <a:r>
            <a:rPr b="1" lang="en-AU" sz="1500" strike="noStrike" u="none">
              <a:solidFill>
                <a:srgbClr val="000000"/>
              </a:solidFill>
              <a:effectLst/>
              <a:uFillTx/>
              <a:latin typeface="Montserrat"/>
            </a:rPr>
            <a:t>RISK MANAGEMENT</a:t>
          </a:r>
          <a:endParaRPr b="0" lang="en-IN" sz="1500" strike="noStrike" u="none">
            <a:effectLst/>
            <a:uFillTx/>
            <a:latin typeface="Times New Roman"/>
          </a:endParaRPr>
        </a:p>
        <a:p>
          <a:pPr defTabSz="457200">
            <a:lnSpc>
              <a:spcPct val="100000"/>
            </a:lnSpc>
          </a:pPr>
          <a:r>
            <a:rPr b="0" lang="en-AU" sz="1050" strike="noStrike" u="none">
              <a:solidFill>
                <a:schemeClr val="dk1"/>
              </a:solidFill>
              <a:effectLst/>
              <a:uFillTx/>
              <a:latin typeface="Montserrat"/>
            </a:rPr>
            <a: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a:t>
          </a:r>
          <a:endParaRPr b="0" lang="en-IN" sz="1050" strike="noStrike" u="none">
            <a:effectLst/>
            <a:uFillTx/>
            <a:latin typeface="Times New Roman"/>
          </a:endParaRPr>
        </a:p>
      </xdr:txBody>
    </xdr:sp>
    <xdr:clientData/>
  </xdr:twoCellAnchor>
  <xdr:twoCellAnchor editAs="twoCell">
    <xdr:from>
      <xdr:col>17</xdr:col>
      <xdr:colOff>599040</xdr:colOff>
      <xdr:row>47</xdr:row>
      <xdr:rowOff>34200</xdr:rowOff>
    </xdr:from>
    <xdr:to>
      <xdr:col>37</xdr:col>
      <xdr:colOff>82440</xdr:colOff>
      <xdr:row>55</xdr:row>
      <xdr:rowOff>1440</xdr:rowOff>
    </xdr:to>
    <xdr:sp>
      <xdr:nvSpPr>
        <xdr:cNvPr id="19" name="Picture 17"/>
        <xdr:cNvSpPr/>
      </xdr:nvSpPr>
      <xdr:spPr>
        <a:xfrm>
          <a:off x="13408200" y="9770760"/>
          <a:ext cx="11441160" cy="2024640"/>
        </a:xfrm>
        <a:prstGeom prst="roundRect">
          <a:avLst>
            <a:gd name="adj" fmla="val 8594"/>
          </a:avLst>
        </a:prstGeom>
        <a:blipFill rotWithShape="0">
          <a:blip r:embed="rId10"/>
          <a:srcRect/>
          <a:stretch/>
        </a:blipFill>
        <a:ln w="0">
          <a:noFill/>
        </a:ln>
        <a:effectLst>
          <a:reflection algn="bl" blurRad="12700" dir="5400000" dist="5000" endPos="28000" rotWithShape="0" stA="38000" sy="-100000"/>
        </a:effectLst>
      </xdr:spPr>
      <xdr:style>
        <a:lnRef idx="0"/>
        <a:fillRef idx="0"/>
        <a:effectRef idx="0"/>
        <a:fontRef idx="minor"/>
      </xdr:style>
    </xdr:sp>
    <xdr:clientData/>
  </xdr:twoCellAnchor>
  <xdr:twoCellAnchor editAs="twoCell">
    <xdr:from>
      <xdr:col>18</xdr:col>
      <xdr:colOff>189000</xdr:colOff>
      <xdr:row>47</xdr:row>
      <xdr:rowOff>234000</xdr:rowOff>
    </xdr:from>
    <xdr:to>
      <xdr:col>30</xdr:col>
      <xdr:colOff>581760</xdr:colOff>
      <xdr:row>55</xdr:row>
      <xdr:rowOff>224640</xdr:rowOff>
    </xdr:to>
    <xdr:sp>
      <xdr:nvSpPr>
        <xdr:cNvPr id="20" name="TextBox 18"/>
        <xdr:cNvSpPr/>
      </xdr:nvSpPr>
      <xdr:spPr>
        <a:xfrm>
          <a:off x="13602240" y="9970560"/>
          <a:ext cx="7498800" cy="2048040"/>
        </a:xfrm>
        <a:prstGeom prst="rect">
          <a:avLst/>
        </a:prstGeom>
        <a:noFill/>
        <a:ln w="9525">
          <a:noFill/>
        </a:ln>
      </xdr:spPr>
      <xdr:style>
        <a:lnRef idx="0"/>
        <a:fillRef idx="0"/>
        <a:effectRef idx="0"/>
        <a:fontRef idx="minor"/>
      </xdr:style>
      <xdr:txBody>
        <a:bodyPr horzOverflow="clip" vertOverflow="clip" lIns="90000" rIns="90000" tIns="45000" bIns="45000" anchor="ctr">
          <a:noAutofit/>
        </a:bodyPr>
        <a:p>
          <a:pPr defTabSz="914400">
            <a:lnSpc>
              <a:spcPct val="100000"/>
            </a:lnSpc>
            <a:tabLst>
              <a:tab algn="l" pos="0"/>
            </a:tabLst>
          </a:pPr>
          <a:endParaRPr b="0" lang="en-IN" sz="3200" strike="noStrike" u="none">
            <a:effectLst/>
            <a:uFillTx/>
            <a:latin typeface="Times New Roman"/>
          </a:endParaRPr>
        </a:p>
        <a:p>
          <a:pPr defTabSz="914400">
            <a:lnSpc>
              <a:spcPct val="100000"/>
            </a:lnSpc>
            <a:tabLst>
              <a:tab algn="l" pos="0"/>
            </a:tabLst>
          </a:pPr>
          <a:r>
            <a:rPr b="1" lang="en-AU" sz="3200" strike="noStrike" u="none">
              <a:solidFill>
                <a:schemeClr val="lt1"/>
              </a:solidFill>
              <a:effectLst/>
              <a:uFillTx/>
              <a:latin typeface="Montserrat"/>
            </a:rPr>
            <a:t>THE LASER BEAM FUND</a:t>
          </a:r>
          <a:endParaRPr b="0" lang="en-IN" sz="3200" strike="noStrike" u="none">
            <a:effectLst/>
            <a:uFillTx/>
            <a:latin typeface="Times New Roman"/>
          </a:endParaRPr>
        </a:p>
        <a:p>
          <a:pPr defTabSz="914400">
            <a:lnSpc>
              <a:spcPct val="100000"/>
            </a:lnSpc>
            <a:tabLst>
              <a:tab algn="l" pos="0"/>
            </a:tabLst>
          </a:pPr>
          <a:endParaRPr b="0" lang="en-IN" sz="3200" strike="noStrike" u="none">
            <a:effectLst/>
            <a:uFillTx/>
            <a:latin typeface="Times New Roman"/>
          </a:endParaRPr>
        </a:p>
      </xdr:txBody>
    </xdr:sp>
    <xdr:clientData/>
  </xdr:twoCellAnchor>
  <xdr:twoCellAnchor editAs="twoCell">
    <xdr:from>
      <xdr:col>18</xdr:col>
      <xdr:colOff>0</xdr:colOff>
      <xdr:row>54</xdr:row>
      <xdr:rowOff>169560</xdr:rowOff>
    </xdr:from>
    <xdr:to>
      <xdr:col>37</xdr:col>
      <xdr:colOff>193320</xdr:colOff>
      <xdr:row>57</xdr:row>
      <xdr:rowOff>169200</xdr:rowOff>
    </xdr:to>
    <xdr:sp>
      <xdr:nvSpPr>
        <xdr:cNvPr id="21" name="TextBox 19"/>
        <xdr:cNvSpPr/>
      </xdr:nvSpPr>
      <xdr:spPr>
        <a:xfrm>
          <a:off x="13413240" y="11706120"/>
          <a:ext cx="11547000" cy="799920"/>
        </a:xfrm>
        <a:prstGeom prst="rect">
          <a:avLst/>
        </a:prstGeom>
        <a:noFill/>
        <a:ln w="9525">
          <a:noFill/>
        </a:ln>
      </xdr:spPr>
      <xdr:style>
        <a:lnRef idx="0"/>
        <a:fillRef idx="0"/>
        <a:effectRef idx="0"/>
        <a:fontRef idx="minor"/>
      </xdr:style>
      <xdr:txBody>
        <a:bodyPr horzOverflow="clip" vertOverflow="clip" lIns="90000" rIns="90000" tIns="45000" bIns="45000" anchor="ctr">
          <a:noAutofit/>
        </a:bodyPr>
        <a:p>
          <a:pPr algn="ctr">
            <a:lnSpc>
              <a:spcPct val="100000"/>
            </a:lnSpc>
          </a:pPr>
          <a:r>
            <a:rPr b="0" lang="en-AU" sz="1700" strike="noStrike" u="none">
              <a:solidFill>
                <a:srgbClr val="000000"/>
              </a:solidFill>
              <a:effectLst/>
              <a:uFillTx/>
              <a:latin typeface="Montserrat"/>
            </a:rPr>
            <a:t>A global investment fund built to capitalise on market asymmetry </a:t>
          </a:r>
          <a:endParaRPr b="0" lang="en-IN" sz="1700" strike="noStrike" u="none">
            <a:effectLst/>
            <a:uFillTx/>
            <a:latin typeface="Times New Roman"/>
          </a:endParaRPr>
        </a:p>
      </xdr:txBody>
    </xdr:sp>
    <xdr:clientData/>
  </xdr:twoCellAnchor>
  <xdr:twoCellAnchor editAs="oneCell">
    <xdr:from>
      <xdr:col>2</xdr:col>
      <xdr:colOff>0</xdr:colOff>
      <xdr:row>0</xdr:row>
      <xdr:rowOff>0</xdr:rowOff>
    </xdr:from>
    <xdr:to>
      <xdr:col>14</xdr:col>
      <xdr:colOff>865800</xdr:colOff>
      <xdr:row>16</xdr:row>
      <xdr:rowOff>57960</xdr:rowOff>
    </xdr:to>
    <xdr:pic>
      <xdr:nvPicPr>
        <xdr:cNvPr id="22" name="Picture 20" descr=""/>
        <xdr:cNvPicPr/>
      </xdr:nvPicPr>
      <xdr:blipFill>
        <a:blip r:embed="rId11"/>
        <a:stretch/>
      </xdr:blipFill>
      <xdr:spPr>
        <a:xfrm>
          <a:off x="925920" y="0"/>
          <a:ext cx="10503720" cy="3096360"/>
        </a:xfrm>
        <a:prstGeom prst="rect">
          <a:avLst/>
        </a:prstGeom>
        <a:noFill/>
        <a:ln w="0">
          <a:noFill/>
        </a:ln>
      </xdr:spPr>
    </xdr:pic>
    <xdr:clientData/>
  </xdr:twoCellAnchor>
  <xdr:twoCellAnchor editAs="oneCell">
    <xdr:from>
      <xdr:col>3</xdr:col>
      <xdr:colOff>203400</xdr:colOff>
      <xdr:row>108</xdr:row>
      <xdr:rowOff>102600</xdr:rowOff>
    </xdr:from>
    <xdr:to>
      <xdr:col>12</xdr:col>
      <xdr:colOff>749160</xdr:colOff>
      <xdr:row>121</xdr:row>
      <xdr:rowOff>2520</xdr:rowOff>
    </xdr:to>
    <xdr:pic>
      <xdr:nvPicPr>
        <xdr:cNvPr id="23" name="Picture 8" descr=""/>
        <xdr:cNvPicPr/>
      </xdr:nvPicPr>
      <xdr:blipFill>
        <a:blip r:embed="rId12"/>
        <a:stretch/>
      </xdr:blipFill>
      <xdr:spPr>
        <a:xfrm>
          <a:off x="1239840" y="22197600"/>
          <a:ext cx="8340840" cy="3119040"/>
        </a:xfrm>
        <a:prstGeom prst="rect">
          <a:avLst/>
        </a:prstGeom>
        <a:noFill/>
        <a:ln w="0">
          <a:noFill/>
        </a:ln>
      </xdr:spPr>
    </xdr:pic>
    <xdr:clientData/>
  </xdr:twoCellAnchor>
  <xdr:twoCellAnchor editAs="oneCell">
    <xdr:from>
      <xdr:col>3</xdr:col>
      <xdr:colOff>736560</xdr:colOff>
      <xdr:row>139</xdr:row>
      <xdr:rowOff>9720</xdr:rowOff>
    </xdr:from>
    <xdr:to>
      <xdr:col>16</xdr:col>
      <xdr:colOff>164880</xdr:colOff>
      <xdr:row>161</xdr:row>
      <xdr:rowOff>80280</xdr:rowOff>
    </xdr:to>
    <xdr:pic>
      <xdr:nvPicPr>
        <xdr:cNvPr id="24" name="Picture 24" descr=""/>
        <xdr:cNvPicPr/>
      </xdr:nvPicPr>
      <xdr:blipFill>
        <a:blip r:embed="rId13"/>
        <a:stretch/>
      </xdr:blipFill>
      <xdr:spPr>
        <a:xfrm>
          <a:off x="1773000" y="29105280"/>
          <a:ext cx="10425600" cy="3842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83</xdr:col>
      <xdr:colOff>394560</xdr:colOff>
      <xdr:row>25</xdr:row>
      <xdr:rowOff>41040</xdr:rowOff>
    </xdr:from>
    <xdr:to>
      <xdr:col>84</xdr:col>
      <xdr:colOff>353520</xdr:colOff>
      <xdr:row>28</xdr:row>
      <xdr:rowOff>24480</xdr:rowOff>
    </xdr:to>
    <xdr:sp macro="[0]!Step2Hardcode">
      <xdr:nvSpPr>
        <xdr:cNvPr id="25" name="Rectangle: Rounded Corners 3"/>
        <xdr:cNvSpPr/>
      </xdr:nvSpPr>
      <xdr:spPr>
        <a:xfrm>
          <a:off x="72967320" y="5555520"/>
          <a:ext cx="885600" cy="52632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horzOverflow="clip" vertOverflow="clip" lIns="90000" rIns="90000" tIns="45000" bIns="45000" anchor="ctr">
          <a:noAutofit/>
        </a:bodyPr>
        <a:p>
          <a:pPr>
            <a:lnSpc>
              <a:spcPct val="100000"/>
            </a:lnSpc>
          </a:pPr>
          <a:r>
            <a:rPr b="0" lang="en-AU" sz="1100" strike="noStrike" u="none">
              <a:solidFill>
                <a:schemeClr val="lt1"/>
              </a:solidFill>
              <a:effectLst/>
              <a:uFillTx/>
              <a:latin typeface="Calibri"/>
            </a:rPr>
            <a:t>Hardcode</a:t>
          </a:r>
          <a:endParaRPr b="0" lang="en-IN" sz="1100" strike="noStrike" u="none">
            <a:effectLst/>
            <a:uFillTx/>
            <a:latin typeface="Times New Roman"/>
          </a:endParaRPr>
        </a:p>
      </xdr:txBody>
    </xdr:sp>
    <xdr:clientData/>
  </xdr:twoCellAnchor>
  <xdr:twoCellAnchor editAs="twoCell">
    <xdr:from>
      <xdr:col>83</xdr:col>
      <xdr:colOff>394560</xdr:colOff>
      <xdr:row>21</xdr:row>
      <xdr:rowOff>26280</xdr:rowOff>
    </xdr:from>
    <xdr:to>
      <xdr:col>84</xdr:col>
      <xdr:colOff>366840</xdr:colOff>
      <xdr:row>24</xdr:row>
      <xdr:rowOff>66960</xdr:rowOff>
    </xdr:to>
    <xdr:sp macro="[0]!update_ASX_factset">
      <xdr:nvSpPr>
        <xdr:cNvPr id="26" name="Rectangle: Rounded Corners 4"/>
        <xdr:cNvSpPr/>
      </xdr:nvSpPr>
      <xdr:spPr>
        <a:xfrm>
          <a:off x="72967320" y="4777200"/>
          <a:ext cx="898920" cy="62316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horzOverflow="clip" vertOverflow="clip" lIns="90000" rIns="90000" tIns="45000" bIns="45000" anchor="ctr">
          <a:noAutofit/>
        </a:bodyPr>
        <a:p>
          <a:pPr>
            <a:lnSpc>
              <a:spcPct val="100000"/>
            </a:lnSpc>
          </a:pPr>
          <a:r>
            <a:rPr b="0" lang="en-AU" sz="1100" strike="noStrike" u="none">
              <a:solidFill>
                <a:schemeClr val="lt1"/>
              </a:solidFill>
              <a:effectLst/>
              <a:uFillTx/>
              <a:latin typeface="Calibri"/>
            </a:rPr>
            <a:t>Factset Refresh</a:t>
          </a:r>
          <a:endParaRPr b="0" lang="en-IN" sz="1100" strike="noStrike" u="none">
            <a:effectLst/>
            <a:uFillTx/>
            <a:latin typeface="Times New Roman"/>
          </a:endParaRPr>
        </a:p>
      </xdr:txBody>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Downloads/Performance.xlsm"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https://laserbeamptyltd-my.sharepoint.com/personal/hayden_laserbeamcapital_com/Documents/LBF%20Model.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__FDSCACHE__"/>
      <sheetName val="Performance, Risk, FUM"/>
      <sheetName val="Monthly Perf Tables"/>
      <sheetName val="New Stock and Weightings"/>
      <sheetName val="Factsheet Data"/>
      <sheetName val="Yield Factsheet Data"/>
      <sheetName val="Performance Tables"/>
      <sheetName val="Risk &amp; Return"/>
      <sheetName val="Performance Charts"/>
      <sheetName val="Presentation Returns"/>
      <sheetName val="Risk Return Charts"/>
      <sheetName val="Investment Process Eg Data"/>
      <sheetName val="12 Months Contributors"/>
      <sheetName val="Featured Portfolio Holding"/>
    </sheetNames>
    <sheetDataSet>
      <sheetData sheetId="0"/>
      <sheetData sheetId="1"/>
      <sheetData sheetId="2"/>
      <sheetData sheetId="3">
        <row r="232">
          <cell r="I232" t="str">
            <v>RBL</v>
          </cell>
          <cell r="J232">
            <v>3.8438</v>
          </cell>
        </row>
        <row r="233">
          <cell r="I233" t="str">
            <v>SLC</v>
          </cell>
          <cell r="J233">
            <v>4.066</v>
          </cell>
        </row>
        <row r="234">
          <cell r="I234" t="str">
            <v>TNE</v>
          </cell>
          <cell r="J234">
            <v>1.7782</v>
          </cell>
        </row>
        <row r="235">
          <cell r="I235" t="str">
            <v>AAPL</v>
          </cell>
          <cell r="J235">
            <v>3.7395</v>
          </cell>
        </row>
        <row r="236">
          <cell r="I236" t="str">
            <v>BABA</v>
          </cell>
          <cell r="J236">
            <v>3.6438</v>
          </cell>
        </row>
        <row r="237">
          <cell r="I237" t="str">
            <v>CAT</v>
          </cell>
          <cell r="J237">
            <v>4.5597</v>
          </cell>
        </row>
        <row r="238">
          <cell r="I238" t="str">
            <v>SLB</v>
          </cell>
          <cell r="J238">
            <v>3.828</v>
          </cell>
        </row>
        <row r="239">
          <cell r="I239" t="str">
            <v>TWTR</v>
          </cell>
          <cell r="J239">
            <v>5.5955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onthly"/>
      <sheetName val="Portfolio"/>
      <sheetName val="Admin Fee"/>
      <sheetName val="Quote Comparisons"/>
    </sheetNames>
    <sheetDataSet>
      <sheetData sheetId="0">
        <row r="39">
          <cell r="F39">
            <v>1.08146697312448</v>
          </cell>
        </row>
        <row r="43">
          <cell r="D43">
            <v>0.0316591063999812</v>
          </cell>
          <cell r="E43">
            <v>0.00801931926914845</v>
          </cell>
          <cell r="F43">
            <v>0.00696108122768169</v>
          </cell>
        </row>
      </sheetData>
      <sheetData sheetId="1"/>
      <sheetData sheetId="2"/>
      <sheetData sheetId="3"/>
    </sheetDataSet>
  </externalBook>
</externalLink>
</file>

<file path=xl/tables/table1.xml><?xml version="1.0" encoding="utf-8"?>
<table xmlns="http://schemas.openxmlformats.org/spreadsheetml/2006/main" id="1" name="NetPerformanceTable" displayName="NetPerformanceTable" ref="D1:E5" headerRowCount="1" totalsRowCount="0" totalsRowShown="0">
  <autoFilter ref="D1:E5"/>
  <tableColumns count="2">
    <tableColumn id="1" name="label"/>
    <tableColumn id="2" name="value"/>
  </tableColumns>
</table>
</file>

<file path=xl/tables/table2.xml><?xml version="1.0" encoding="utf-8"?>
<table xmlns="http://schemas.openxmlformats.org/spreadsheetml/2006/main" id="2" name="Table1" displayName="Table1" ref="A1:B5" headerRowCount="1" totalsRowCount="0" totalsRowShown="0">
  <autoFilter ref="A1:B5"/>
  <tableColumns count="2">
    <tableColumn id="1" name="Month"/>
    <tableColumn id="2" name="CumulativeReturn"/>
  </tableColumns>
</table>
</file>

<file path=xl/tables/table3.xml><?xml version="1.0" encoding="utf-8"?>
<table xmlns="http://schemas.openxmlformats.org/spreadsheetml/2006/main" id="3" name="Table4" displayName="Table4" ref="A1:D11" headerRowCount="1" totalsRowCount="0" totalsRowShown="0">
  <autoFilter ref="A1:D11"/>
  <tableColumns count="4">
    <tableColumn id="1" name="key"/>
    <tableColumn id="2" name="value"/>
    <tableColumn id="3" name="Column1"/>
    <tableColumn id="4" name="Column2"/>
  </tableColumns>
</table>
</file>

<file path=xl/tables/table4.xml><?xml version="1.0" encoding="utf-8"?>
<table xmlns="http://schemas.openxmlformats.org/spreadsheetml/2006/main" id="4" name="Table5" displayName="Table5" ref="A1:B10" headerRowCount="1" totalsRowCount="0" totalsRowShown="0">
  <autoFilter ref="A1:B10"/>
  <tableColumns count="2">
    <tableColumn id="1" name="key"/>
    <tableColumn id="2" name="value"/>
  </tableColumns>
</table>
</file>

<file path=xl/tables/table5.xml><?xml version="1.0" encoding="utf-8"?>
<table xmlns="http://schemas.openxmlformats.org/spreadsheetml/2006/main" id="5" name="Table6" displayName="Table6" ref="A1:B4" headerRowCount="1" totalsRowCount="0" totalsRowShown="0">
  <autoFilter ref="A1:B4"/>
  <tableColumns count="2">
    <tableColumn id="1" name="key"/>
    <tableColumn id="2" name="value"/>
  </tableColumns>
</table>
</file>

<file path=xl/tables/table6.xml><?xml version="1.0" encoding="utf-8"?>
<table xmlns="http://schemas.openxmlformats.org/spreadsheetml/2006/main" id="6" name="Table7" displayName="Table7" ref="D1:E10" headerRowCount="1" totalsRowCount="0" totalsRowShown="0">
  <autoFilter ref="D1:E10"/>
  <tableColumns count="2">
    <tableColumn id="1" name="name"/>
    <tableColumn id="2" name="value"/>
  </tableColumns>
</table>
</file>

<file path=xl/tables/table7.xml><?xml version="1.0" encoding="utf-8"?>
<table xmlns="http://schemas.openxmlformats.org/spreadsheetml/2006/main" id="7" name="Table8" displayName="Table8" ref="G1:I6" headerRowCount="1" totalsRowCount="0" totalsRowShown="0">
  <autoFilter ref="G1:I6"/>
  <tableColumns count="3">
    <tableColumn id="1" name="name"/>
    <tableColumn id="2" name="value"/>
    <tableColumn id="3" name="labels"/>
  </tableColumns>
</table>
</file>

<file path=xl/tables/table8.xml><?xml version="1.0" encoding="utf-8"?>
<table xmlns="http://schemas.openxmlformats.org/spreadsheetml/2006/main" id="8" name="Table9" displayName="Table9" ref="A1:B5" headerRowCount="1" totalsRowCount="0" totalsRowShown="0">
  <autoFilter ref="A1:B5"/>
  <tableColumns count="2">
    <tableColumn id="1" name="key"/>
    <tableColumn id="2" name="text"/>
  </tableColumns>
</table>
</file>

<file path=xl/tables/table9.xml><?xml version="1.0" encoding="utf-8"?>
<table xmlns="http://schemas.openxmlformats.org/spreadsheetml/2006/main" id="9" name="TopHoldingsTable" displayName="TopHoldingsTable" ref="A1:M12" headerRowCount="1" totalsRowCount="0" totalsRowShown="0">
  <autoFilter ref="A1:M12"/>
  <tableColumns count="13">
    <tableColumn id="1" name="TopHoldingsTable"/>
    <tableColumn id="2" name="Weight"/>
    <tableColumn id="3" name="Rank"/>
    <tableColumn id="4" name="Column1"/>
    <tableColumn id="5" name="Column2"/>
    <tableColumn id="6" name="Column3"/>
    <tableColumn id="7" name="Column4"/>
    <tableColumn id="8" name="Column5"/>
    <tableColumn id="9" name="Column6"/>
    <tableColumn id="10" name="Column7"/>
    <tableColumn id="11" name="Column8"/>
    <tableColumn id="12" name="Column9"/>
    <tableColumn id="13" name="Column10"/>
  </tableColumns>
</table>
</file>

<file path=xl/theme/theme1.xml><?xml version="1.0" encoding="utf-8"?>
<a:theme xmlns:a="http://schemas.openxmlformats.org/drawingml/2006/main" xmlns:r="http://schemas.openxmlformats.org/officeDocument/2006/relationships" name="Office Theme">
  <a:themeElements>
    <a:clrScheme name="Red">
      <a:dk1>
        <a:srgbClr val="000000"/>
      </a:dk1>
      <a:lt1>
        <a:srgbClr val="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table" Target="../tables/table9.xml"/>
</Relationships>
</file>

<file path=xl/worksheets/_rels/sheet7.xml.rels><?xml version="1.0" encoding="UTF-8"?>
<Relationships xmlns="http://schemas.openxmlformats.org/package/2006/relationships"><Relationship Id="rId1" Type="http://schemas.openxmlformats.org/officeDocument/2006/relationships/table" Target="../tables/table3.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table" Target="../tables/table5.xml"/><Relationship Id="rId2" Type="http://schemas.openxmlformats.org/officeDocument/2006/relationships/table" Target="../tables/table6.xml"/><Relationship Id="rId3" Type="http://schemas.openxmlformats.org/officeDocument/2006/relationships/table" Target="../tables/table7.xml"/>
</Relationships>
</file>

<file path=xl/worksheets/_rels/sheet10.xml.rels><?xml version="1.0" encoding="UTF-8"?>
<Relationships xmlns="http://schemas.openxmlformats.org/package/2006/relationships"><Relationship Id="rId1" Type="http://schemas.openxmlformats.org/officeDocument/2006/relationships/table" Target="../tables/table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3.5703125" defaultRowHeight="14.25" customHeight="true" zeroHeight="false" outlineLevelRow="0" outlineLevelCol="0"/>
  <cols>
    <col collapsed="false" customWidth="false" hidden="false" outlineLevel="0" max="1" min="1" style="1" width="3.57"/>
    <col collapsed="false" customWidth="true" hidden="false" outlineLevel="0" max="2" min="2" style="1" width="70.42"/>
    <col collapsed="false" customWidth="false" hidden="false" outlineLevel="0" max="16384" min="3" style="1" width="3.57"/>
  </cols>
  <sheetData>
    <row r="2" customFormat="false" ht="14.25" hidden="false" customHeight="false" outlineLevel="0" collapsed="false">
      <c r="B2" s="2" t="s">
        <v>0</v>
      </c>
    </row>
    <row r="3" customFormat="false" ht="14.25" hidden="false" customHeight="false" outlineLevel="0" collapsed="false">
      <c r="B3" s="1" t="s">
        <v>1</v>
      </c>
    </row>
    <row r="4" customFormat="false" ht="14.25" hidden="false" customHeight="false" outlineLevel="0" collapsed="false">
      <c r="B4" s="2" t="s">
        <v>2</v>
      </c>
    </row>
    <row r="5" customFormat="false" ht="14.25" hidden="false" customHeight="false" outlineLevel="0" collapsed="false">
      <c r="B5" s="2" t="s">
        <v>3</v>
      </c>
    </row>
    <row r="6" customFormat="false" ht="14.25" hidden="false" customHeight="false" outlineLevel="0" collapsed="false">
      <c r="B6" s="2" t="s">
        <v>4</v>
      </c>
    </row>
    <row r="7" customFormat="false" ht="14.25" hidden="false" customHeight="false" outlineLevel="0" collapsed="false">
      <c r="B7" s="3" t="s">
        <v>5</v>
      </c>
    </row>
    <row r="8" customFormat="false" ht="14.25" hidden="false" customHeight="false" outlineLevel="0" collapsed="false">
      <c r="B8" s="2" t="s">
        <v>6</v>
      </c>
    </row>
    <row r="9" customFormat="false" ht="14.25" hidden="false" customHeight="false" outlineLevel="0" collapsed="false">
      <c r="B9" s="2" t="s">
        <v>7</v>
      </c>
    </row>
    <row r="10" customFormat="false" ht="14.25" hidden="false" customHeight="false" outlineLevel="0" collapsed="false">
      <c r="B10" s="2" t="s">
        <v>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8:AG137"/>
  <sheetViews>
    <sheetView showFormulas="false" showGridLines="true" showRowColHeaders="true" showZeros="true" rightToLeft="false" tabSelected="true" showOutlineSymbols="true" defaultGridColor="true" view="normal" topLeftCell="A96" colorId="64" zoomScale="55" zoomScaleNormal="55" zoomScalePageLayoutView="100" workbookViewId="0">
      <selection pane="topLeft" activeCell="D18" activeCellId="0" sqref="D18"/>
    </sheetView>
  </sheetViews>
  <sheetFormatPr defaultColWidth="8.5703125" defaultRowHeight="13.5" customHeight="true" zeroHeight="false" outlineLevelRow="0" outlineLevelCol="0"/>
  <cols>
    <col collapsed="false" customWidth="false" hidden="false" outlineLevel="0" max="1" min="1" style="4" width="8.57"/>
    <col collapsed="false" customWidth="true" hidden="false" outlineLevel="0" max="2" min="2" style="5" width="4.57"/>
    <col collapsed="false" customWidth="true" hidden="false" outlineLevel="0" max="3" min="3" style="4" width="1.57"/>
    <col collapsed="false" customWidth="true" hidden="false" outlineLevel="0" max="13" min="4" style="5" width="12.29"/>
    <col collapsed="false" customWidth="true" hidden="false" outlineLevel="0" max="15" min="14" style="4" width="12.29"/>
    <col collapsed="false" customWidth="false" hidden="false" outlineLevel="0" max="16" min="16" style="4" width="8.57"/>
    <col collapsed="false" customWidth="true" hidden="false" outlineLevel="0" max="17" min="17" style="4" width="11"/>
    <col collapsed="false" customWidth="false" hidden="false" outlineLevel="0" max="20" min="18" style="4" width="8.57"/>
    <col collapsed="false" customWidth="true" hidden="false" outlineLevel="0" max="21" min="21" style="4" width="5.14"/>
    <col collapsed="false" customWidth="false" hidden="false" outlineLevel="0" max="26" min="22" style="4" width="8.57"/>
    <col collapsed="false" customWidth="true" hidden="false" outlineLevel="0" max="27" min="27" style="4" width="7.57"/>
    <col collapsed="false" customWidth="true" hidden="false" outlineLevel="0" max="28" min="28" style="4" width="11"/>
    <col collapsed="false" customWidth="false" hidden="false" outlineLevel="0" max="31" min="29" style="4" width="8.57"/>
    <col collapsed="false" customWidth="true" hidden="false" outlineLevel="0" max="32" min="32" style="4" width="8.86"/>
    <col collapsed="false" customWidth="false" hidden="false" outlineLevel="0" max="16384" min="33" style="4" width="8.57"/>
  </cols>
  <sheetData>
    <row r="8" customFormat="false" ht="32.25" hidden="false" customHeight="true" outlineLevel="0" collapsed="false"/>
    <row r="9" customFormat="false" ht="28.5" hidden="false" customHeight="true" outlineLevel="0" collapsed="false"/>
    <row r="10" customFormat="false" ht="18" hidden="false" customHeight="true" outlineLevel="0" collapsed="false"/>
    <row r="11" customFormat="false" ht="18" hidden="false" customHeight="true" outlineLevel="0" collapsed="false"/>
    <row r="12" customFormat="false" ht="10.5" hidden="false" customHeight="true" outlineLevel="0" collapsed="false"/>
    <row r="13" customFormat="false" ht="10.5" hidden="false" customHeight="true" outlineLevel="0" collapsed="false"/>
    <row r="14" customFormat="false" ht="10.5" hidden="false" customHeight="true" outlineLevel="0" collapsed="false"/>
    <row r="15" customFormat="false" ht="10.5" hidden="false" customHeight="true" outlineLevel="0" collapsed="false"/>
    <row r="16" customFormat="false" ht="6" hidden="false" customHeight="true" outlineLevel="0" collapsed="false"/>
    <row r="17" customFormat="false" ht="39.75" hidden="false" customHeight="true" outlineLevel="0" collapsed="false">
      <c r="D17" s="6" t="s">
        <v>9</v>
      </c>
      <c r="E17" s="6"/>
      <c r="F17" s="6"/>
      <c r="G17" s="7"/>
      <c r="H17" s="8" t="s">
        <v>10</v>
      </c>
      <c r="I17" s="7"/>
      <c r="J17" s="8" t="s">
        <v>11</v>
      </c>
      <c r="K17" s="8"/>
      <c r="L17" s="8" t="s">
        <v>12</v>
      </c>
      <c r="M17" s="8"/>
      <c r="N17" s="8" t="s">
        <v>13</v>
      </c>
      <c r="O17" s="8"/>
    </row>
    <row r="18" customFormat="false" ht="40.5" hidden="false" customHeight="true" outlineLevel="0" collapsed="false">
      <c r="B18" s="9"/>
      <c r="D18" s="10" t="s">
        <v>14</v>
      </c>
      <c r="E18" s="10"/>
      <c r="F18" s="10"/>
      <c r="G18" s="11"/>
      <c r="H18" s="12" t="n">
        <f aca="false">Performancedata!C6</f>
        <v>0.0295763262799684</v>
      </c>
      <c r="I18" s="12"/>
      <c r="J18" s="12" t="n">
        <f aca="false">Performancedata!E6</f>
        <v>0.0814669731244788</v>
      </c>
      <c r="K18" s="12"/>
      <c r="L18" s="12" t="n">
        <f aca="false">Performancedata!F6</f>
        <v>0.0814669731244788</v>
      </c>
      <c r="M18" s="13"/>
      <c r="N18" s="13" t="n">
        <f aca="false">Performancedata!H6</f>
        <v>0.369073664356184</v>
      </c>
      <c r="O18" s="14"/>
    </row>
    <row r="19" customFormat="false" ht="28.5" hidden="false" customHeight="true" outlineLevel="0" collapsed="false">
      <c r="B19" s="15"/>
      <c r="C19" s="16"/>
      <c r="D19" s="15"/>
      <c r="E19" s="15"/>
      <c r="F19" s="15"/>
      <c r="G19" s="15"/>
      <c r="H19" s="15"/>
      <c r="I19" s="15"/>
      <c r="J19" s="15"/>
      <c r="K19" s="15"/>
      <c r="L19" s="15"/>
      <c r="M19" s="15"/>
      <c r="N19" s="17"/>
    </row>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row r="24" customFormat="false" ht="13.8" hidden="false" customHeight="false" outlineLevel="0" collapsed="false"/>
    <row r="25" customFormat="false" ht="13.8" hidden="false" customHeight="false" outlineLevel="0" collapsed="false"/>
    <row r="26" customFormat="false" ht="13.8" hidden="false" customHeight="false" outlineLevel="0" collapsed="false"/>
    <row r="27" customFormat="false" ht="13.8" hidden="false" customHeight="false" outlineLevel="0" collapsed="false"/>
    <row r="28" customFormat="false" ht="13.8" hidden="false" customHeight="false" outlineLevel="0" collapsed="false"/>
    <row r="29" customFormat="false" ht="13.8" hidden="false" customHeight="false" outlineLevel="0" collapsed="false"/>
    <row r="30" customFormat="false" ht="13.8" hidden="false" customHeight="false" outlineLevel="0" collapsed="false"/>
    <row r="31" customFormat="false" ht="13.8" hidden="false" customHeight="false" outlineLevel="0" collapsed="false"/>
    <row r="32" customFormat="false" ht="13.8" hidden="false" customHeight="false" outlineLevel="0" collapsed="false"/>
    <row r="33" customFormat="false" ht="13.8" hidden="false" customHeight="false" outlineLevel="0" collapsed="false"/>
    <row r="34" customFormat="false" ht="13.8" hidden="false" customHeight="false" outlineLevel="0" collapsed="false"/>
    <row r="35" customFormat="false" ht="13.8" hidden="false" customHeight="false" outlineLevel="0" collapsed="false"/>
    <row r="36" customFormat="false" ht="13.8" hidden="false" customHeight="false" outlineLevel="0" collapsed="false"/>
    <row r="37" customFormat="false" ht="13.8" hidden="false" customHeight="false" outlineLevel="0" collapsed="false"/>
    <row r="38" customFormat="false" ht="13.8" hidden="false" customHeight="false" outlineLevel="0" collapsed="false"/>
    <row r="39" customFormat="false" ht="13.8" hidden="false" customHeight="false" outlineLevel="0" collapsed="false"/>
    <row r="40" customFormat="false" ht="13.8" hidden="false" customHeight="false" outlineLevel="0" collapsed="false"/>
    <row r="41" customFormat="false" ht="13.8" hidden="false" customHeight="false" outlineLevel="0" collapsed="false"/>
    <row r="42" customFormat="false" ht="13.8" hidden="false" customHeight="false" outlineLevel="0" collapsed="false"/>
    <row r="43" customFormat="false" ht="20.25" hidden="false" customHeight="true" outlineLevel="0" collapsed="false">
      <c r="D43" s="18" t="s">
        <v>15</v>
      </c>
      <c r="E43" s="18"/>
      <c r="F43" s="18"/>
      <c r="G43" s="18"/>
      <c r="H43" s="18"/>
      <c r="I43" s="18"/>
      <c r="J43" s="18"/>
      <c r="K43" s="18"/>
      <c r="L43" s="18"/>
      <c r="M43" s="18"/>
    </row>
    <row r="44" s="4" customFormat="true" ht="20.25" hidden="false" customHeight="true" outlineLevel="0" collapsed="false">
      <c r="B44" s="5"/>
      <c r="D44" s="19" t="s">
        <v>16</v>
      </c>
      <c r="E44" s="19"/>
      <c r="F44" s="19"/>
      <c r="I44" s="20"/>
      <c r="M44" s="21"/>
    </row>
    <row r="45" customFormat="false" ht="20.25" hidden="false" customHeight="true" outlineLevel="0" collapsed="false">
      <c r="D45" s="19"/>
      <c r="E45" s="19"/>
      <c r="F45" s="19"/>
      <c r="I45" s="22"/>
      <c r="M45" s="21"/>
      <c r="N45" s="23"/>
      <c r="S45" s="5"/>
    </row>
    <row r="46" customFormat="false" ht="20.25" hidden="false" customHeight="true" outlineLevel="0" collapsed="false">
      <c r="D46" s="19"/>
      <c r="E46" s="19"/>
      <c r="F46" s="19"/>
      <c r="I46" s="22"/>
      <c r="M46" s="21"/>
    </row>
    <row r="47" customFormat="false" ht="20.25" hidden="false" customHeight="true" outlineLevel="0" collapsed="false">
      <c r="D47" s="19"/>
      <c r="E47" s="19"/>
      <c r="F47" s="19"/>
      <c r="I47" s="24"/>
      <c r="J47" s="25"/>
      <c r="K47" s="25"/>
      <c r="M47" s="21"/>
    </row>
    <row r="48" customFormat="false" ht="20.25" hidden="false" customHeight="true" outlineLevel="0" collapsed="false">
      <c r="D48" s="19"/>
      <c r="E48" s="19"/>
      <c r="F48" s="19"/>
      <c r="I48" s="24"/>
      <c r="J48" s="25"/>
      <c r="K48" s="25"/>
      <c r="M48" s="21"/>
    </row>
    <row r="49" customFormat="false" ht="20.25" hidden="false" customHeight="true" outlineLevel="0" collapsed="false">
      <c r="D49" s="25"/>
      <c r="E49" s="25"/>
      <c r="F49" s="25"/>
      <c r="G49" s="26"/>
      <c r="I49" s="27"/>
      <c r="J49" s="25"/>
      <c r="K49" s="25"/>
      <c r="L49" s="25"/>
    </row>
    <row r="50" customFormat="false" ht="20.25" hidden="false" customHeight="true" outlineLevel="0" collapsed="false">
      <c r="D50" s="25"/>
      <c r="E50" s="25"/>
      <c r="F50" s="25"/>
      <c r="G50" s="28"/>
      <c r="H50" s="29"/>
      <c r="I50" s="25"/>
      <c r="J50" s="25"/>
      <c r="K50" s="28"/>
      <c r="L50" s="25"/>
      <c r="S50" s="30"/>
    </row>
    <row r="51" customFormat="false" ht="20.25" hidden="false" customHeight="true" outlineLevel="0" collapsed="false">
      <c r="H51" s="4"/>
      <c r="S51" s="19"/>
    </row>
    <row r="52" customFormat="false" ht="20.25" hidden="false" customHeight="true" outlineLevel="0" collapsed="false">
      <c r="H52" s="4"/>
      <c r="S52" s="19"/>
    </row>
    <row r="53" customFormat="false" ht="20.25" hidden="false" customHeight="true" outlineLevel="0" collapsed="false">
      <c r="S53" s="19"/>
    </row>
    <row r="54" customFormat="false" ht="20.25" hidden="false" customHeight="true" outlineLevel="0" collapsed="false">
      <c r="S54" s="19"/>
    </row>
    <row r="55" s="4" customFormat="true" ht="20.25" hidden="false" customHeight="true" outlineLevel="0" collapsed="false">
      <c r="B55" s="31"/>
      <c r="C55" s="31"/>
      <c r="D55" s="32"/>
      <c r="E55" s="33"/>
      <c r="F55" s="33"/>
      <c r="G55" s="31"/>
      <c r="H55" s="31"/>
      <c r="I55" s="33"/>
      <c r="J55" s="34"/>
      <c r="L55" s="31"/>
      <c r="M55" s="31"/>
      <c r="N55" s="33"/>
      <c r="O55" s="35"/>
      <c r="P55" s="36"/>
      <c r="S55" s="19"/>
    </row>
    <row r="56" s="4" customFormat="true" ht="20.25" hidden="false" customHeight="true" outlineLevel="0" collapsed="false">
      <c r="B56" s="31"/>
      <c r="C56" s="31"/>
      <c r="D56" s="32"/>
      <c r="E56" s="33"/>
      <c r="F56" s="33"/>
      <c r="G56" s="31"/>
      <c r="H56" s="37"/>
      <c r="I56" s="33"/>
      <c r="J56" s="34"/>
      <c r="L56" s="31"/>
      <c r="M56" s="37"/>
      <c r="N56" s="33"/>
      <c r="O56" s="38"/>
      <c r="S56" s="19"/>
    </row>
    <row r="57" s="4" customFormat="true" ht="22.5" hidden="false" customHeight="true" outlineLevel="0" collapsed="false">
      <c r="B57" s="31"/>
      <c r="C57" s="31"/>
      <c r="D57" s="32"/>
      <c r="E57" s="33"/>
      <c r="F57" s="33"/>
      <c r="G57" s="31"/>
      <c r="H57" s="37"/>
      <c r="I57" s="33"/>
      <c r="J57" s="39"/>
      <c r="L57" s="31"/>
      <c r="M57" s="37"/>
      <c r="N57" s="33"/>
      <c r="O57" s="40"/>
      <c r="S57" s="19"/>
    </row>
    <row r="58" s="4" customFormat="true" ht="20.25" hidden="false" customHeight="true" outlineLevel="0" collapsed="false">
      <c r="G58" s="31"/>
      <c r="H58" s="37"/>
      <c r="I58" s="33"/>
      <c r="J58" s="35"/>
      <c r="L58" s="31"/>
      <c r="M58" s="37"/>
      <c r="N58" s="33"/>
      <c r="O58" s="35"/>
      <c r="S58" s="41"/>
    </row>
    <row r="59" customFormat="false" ht="32.25" hidden="false" customHeight="true" outlineLevel="0" collapsed="false">
      <c r="B59" s="42"/>
      <c r="C59" s="18"/>
      <c r="D59" s="6"/>
      <c r="E59" s="6"/>
      <c r="F59" s="6"/>
      <c r="G59" s="6"/>
      <c r="H59" s="6"/>
      <c r="I59" s="6"/>
      <c r="J59" s="18"/>
      <c r="K59" s="6"/>
      <c r="L59" s="6"/>
      <c r="M59" s="6"/>
      <c r="N59" s="6"/>
      <c r="O59" s="7"/>
    </row>
    <row r="60" s="4" customFormat="true" ht="20.25" hidden="false" customHeight="true" outlineLevel="0" collapsed="false">
      <c r="B60" s="42"/>
      <c r="C60" s="42"/>
      <c r="D60" s="33"/>
      <c r="E60" s="43"/>
      <c r="F60" s="33"/>
      <c r="G60" s="31"/>
      <c r="H60" s="33"/>
      <c r="I60" s="33"/>
      <c r="J60" s="44"/>
      <c r="L60" s="31"/>
      <c r="M60" s="33"/>
      <c r="N60" s="33"/>
      <c r="O60" s="45"/>
    </row>
    <row r="62" customFormat="false" ht="18.55" hidden="false" customHeight="false" outlineLevel="0" collapsed="false">
      <c r="D62" s="28"/>
      <c r="E62" s="28"/>
      <c r="F62" s="28"/>
      <c r="G62" s="28"/>
      <c r="H62" s="28"/>
      <c r="I62" s="28"/>
      <c r="J62" s="28"/>
      <c r="K62" s="28"/>
      <c r="L62" s="28"/>
      <c r="M62" s="28"/>
      <c r="N62" s="28"/>
      <c r="O62" s="36"/>
    </row>
    <row r="63" customFormat="false" ht="18.55" hidden="false" customHeight="false" outlineLevel="0" collapsed="false">
      <c r="D63" s="28"/>
      <c r="E63" s="28"/>
      <c r="F63" s="28"/>
      <c r="G63" s="28"/>
      <c r="H63" s="28"/>
      <c r="I63" s="28"/>
      <c r="J63" s="28"/>
      <c r="K63" s="28"/>
      <c r="L63" s="28"/>
      <c r="M63" s="28"/>
      <c r="N63" s="28"/>
      <c r="O63" s="36"/>
      <c r="X63" s="5"/>
    </row>
    <row r="64" customFormat="false" ht="18.55" hidden="false" customHeight="false" outlineLevel="0" collapsed="false">
      <c r="D64" s="28"/>
      <c r="E64" s="28"/>
      <c r="F64" s="28"/>
      <c r="G64" s="28"/>
      <c r="H64" s="28"/>
      <c r="I64" s="28"/>
      <c r="J64" s="28"/>
      <c r="K64" s="28"/>
      <c r="L64" s="28"/>
      <c r="M64" s="28"/>
      <c r="N64" s="28"/>
      <c r="O64" s="36"/>
    </row>
    <row r="65" customFormat="false" ht="18.55" hidden="false" customHeight="false" outlineLevel="0" collapsed="false">
      <c r="D65" s="28"/>
      <c r="E65" s="28"/>
      <c r="F65" s="28"/>
      <c r="G65" s="28"/>
      <c r="H65" s="28"/>
      <c r="I65" s="28"/>
      <c r="J65" s="28"/>
      <c r="K65" s="28"/>
      <c r="L65" s="28"/>
      <c r="M65" s="28"/>
      <c r="N65" s="28"/>
      <c r="O65" s="36"/>
    </row>
    <row r="66" customFormat="false" ht="18.55" hidden="false" customHeight="false" outlineLevel="0" collapsed="false">
      <c r="D66" s="28"/>
      <c r="E66" s="28"/>
      <c r="F66" s="28"/>
      <c r="G66" s="28"/>
      <c r="H66" s="28"/>
      <c r="I66" s="28"/>
      <c r="J66" s="28"/>
      <c r="K66" s="28"/>
      <c r="L66" s="28"/>
      <c r="M66" s="28"/>
      <c r="N66" s="28"/>
      <c r="O66" s="36"/>
    </row>
    <row r="67" customFormat="false" ht="15" hidden="false" customHeight="false" outlineLevel="0" collapsed="false">
      <c r="D67" s="25"/>
      <c r="E67" s="25"/>
      <c r="F67" s="25"/>
      <c r="G67" s="16"/>
      <c r="H67" s="16"/>
      <c r="I67" s="25"/>
      <c r="J67" s="16"/>
      <c r="K67" s="16"/>
      <c r="L67" s="25"/>
    </row>
    <row r="68" customFormat="false" ht="15" hidden="false" customHeight="false" outlineLevel="0" collapsed="false">
      <c r="D68" s="25"/>
      <c r="E68" s="25"/>
      <c r="F68" s="25"/>
      <c r="G68" s="16"/>
      <c r="H68" s="16"/>
      <c r="I68" s="25"/>
      <c r="J68" s="4"/>
      <c r="K68" s="16"/>
      <c r="L68" s="25"/>
    </row>
    <row r="69" customFormat="false" ht="17.25" hidden="false" customHeight="false" outlineLevel="0" collapsed="false">
      <c r="J69" s="46"/>
      <c r="K69" s="46"/>
    </row>
    <row r="70" customFormat="false" ht="17.25" hidden="false" customHeight="false" outlineLevel="0" collapsed="false">
      <c r="J70" s="46"/>
      <c r="K70" s="46"/>
    </row>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row r="85" customFormat="false" ht="13.8" hidden="false" customHeight="false" outlineLevel="0" collapsed="false"/>
    <row r="86" customFormat="false" ht="13.8" hidden="false" customHeight="false" outlineLevel="0" collapsed="false"/>
    <row r="87" customFormat="false" ht="13.8" hidden="false" customHeight="false" outlineLevel="0" collapsed="false"/>
    <row r="88" customFormat="false" ht="13.8" hidden="false" customHeight="false" outlineLevel="0" collapsed="false"/>
    <row r="89" customFormat="false" ht="13.8" hidden="false" customHeight="false" outlineLevel="0" collapsed="false"/>
    <row r="90" customFormat="false" ht="13.8" hidden="false" customHeight="false" outlineLevel="0" collapsed="false"/>
    <row r="91" customFormat="false" ht="13.8" hidden="false" customHeight="false" outlineLevel="0" collapsed="false"/>
    <row r="92" customFormat="false" ht="13.8" hidden="false" customHeight="false" outlineLevel="0" collapsed="false"/>
    <row r="93" customFormat="false" ht="13.8" hidden="false" customHeight="false" outlineLevel="0" collapsed="false"/>
    <row r="94" customFormat="false" ht="13.8" hidden="false" customHeight="false" outlineLevel="0" collapsed="false"/>
    <row r="95" customFormat="false" ht="13.8" hidden="false" customHeight="false" outlineLevel="0" collapsed="false"/>
    <row r="96" customFormat="false" ht="13.8" hidden="false" customHeight="false" outlineLevel="0" collapsed="false"/>
    <row r="97" customFormat="false" ht="13.8" hidden="false" customHeight="false" outlineLevel="0" collapsed="false"/>
    <row r="98" customFormat="false" ht="13.8" hidden="false" customHeight="false" outlineLevel="0" collapsed="false"/>
    <row r="99" customFormat="false" ht="13.8" hidden="false" customHeight="false" outlineLevel="0" collapsed="false"/>
    <row r="100" customFormat="false" ht="13.8" hidden="false" customHeight="false" outlineLevel="0" collapsed="false"/>
    <row r="101" customFormat="false" ht="13.8" hidden="false" customHeight="false" outlineLevel="0" collapsed="false"/>
    <row r="102" customFormat="false" ht="13.8" hidden="false" customHeight="false" outlineLevel="0" collapsed="false"/>
    <row r="103" customFormat="false" ht="14.25" hidden="false" customHeight="true" outlineLevel="0" collapsed="false"/>
    <row r="104" customFormat="false" ht="13.5" hidden="false" customHeight="true" outlineLevel="0" collapsed="false"/>
    <row r="105" customFormat="false" ht="15" hidden="false" customHeight="true" outlineLevel="0" collapsed="false"/>
    <row r="107" customFormat="false" ht="13.5" hidden="false" customHeight="true" outlineLevel="0" collapsed="false"/>
    <row r="108" customFormat="false" ht="13.5" hidden="false" customHeight="true" outlineLevel="0" collapsed="false"/>
    <row r="109" customFormat="false" ht="13.5" hidden="false" customHeight="true" outlineLevel="0" collapsed="false"/>
    <row r="110" customFormat="false" ht="13.5" hidden="false" customHeight="true" outlineLevel="0" collapsed="false"/>
    <row r="111" customFormat="false" ht="26.25" hidden="false" customHeight="true" outlineLevel="0" collapsed="false">
      <c r="S111" s="7" t="s">
        <v>15</v>
      </c>
      <c r="T111" s="7"/>
      <c r="U111" s="7"/>
      <c r="V111" s="7"/>
      <c r="W111" s="7"/>
      <c r="X111" s="7" t="s">
        <v>17</v>
      </c>
      <c r="Y111" s="7"/>
      <c r="Z111" s="7"/>
      <c r="AA111" s="7"/>
      <c r="AB111" s="7"/>
      <c r="AC111" s="7" t="s">
        <v>18</v>
      </c>
      <c r="AD111" s="7"/>
      <c r="AE111" s="7"/>
      <c r="AF111" s="7"/>
    </row>
    <row r="112" customFormat="false" ht="27.75" hidden="false" customHeight="true" outlineLevel="0" collapsed="false">
      <c r="S112" s="47" t="s">
        <v>19</v>
      </c>
      <c r="T112" s="47"/>
      <c r="U112" s="32"/>
      <c r="V112" s="33"/>
      <c r="W112" s="33"/>
      <c r="X112" s="47" t="s">
        <v>19</v>
      </c>
      <c r="Y112" s="47"/>
      <c r="Z112" s="33"/>
      <c r="AA112" s="33"/>
      <c r="AB112" s="33"/>
      <c r="AC112" s="47" t="s">
        <v>20</v>
      </c>
      <c r="AD112" s="47"/>
      <c r="AE112" s="33"/>
      <c r="AF112" s="35" t="s">
        <v>21</v>
      </c>
    </row>
    <row r="113" customFormat="false" ht="18.75" hidden="false" customHeight="true" outlineLevel="0" collapsed="false">
      <c r="S113" s="47" t="s">
        <v>19</v>
      </c>
      <c r="T113" s="47"/>
      <c r="U113" s="32"/>
      <c r="V113" s="33"/>
      <c r="W113" s="33"/>
      <c r="X113" s="47" t="s">
        <v>19</v>
      </c>
      <c r="Y113" s="47"/>
      <c r="Z113" s="33"/>
      <c r="AA113" s="33"/>
      <c r="AB113" s="33"/>
      <c r="AC113" s="31" t="s">
        <v>22</v>
      </c>
      <c r="AD113" s="37"/>
      <c r="AE113" s="33"/>
      <c r="AF113" s="38" t="s">
        <v>23</v>
      </c>
    </row>
    <row r="114" customFormat="false" ht="18.75" hidden="false" customHeight="true" outlineLevel="0" collapsed="false">
      <c r="S114" s="47" t="s">
        <v>19</v>
      </c>
      <c r="T114" s="47"/>
      <c r="U114" s="32"/>
      <c r="V114" s="33"/>
      <c r="W114" s="33"/>
      <c r="X114" s="47" t="s">
        <v>19</v>
      </c>
      <c r="Y114" s="47"/>
      <c r="Z114" s="33"/>
      <c r="AA114" s="33"/>
      <c r="AB114" s="33"/>
      <c r="AC114" s="31" t="s">
        <v>24</v>
      </c>
      <c r="AD114" s="37"/>
      <c r="AE114" s="33"/>
      <c r="AF114" s="40" t="s">
        <v>25</v>
      </c>
    </row>
    <row r="115" customFormat="false" ht="21.75" hidden="false" customHeight="true" outlineLevel="0" collapsed="false">
      <c r="S115" s="47" t="s">
        <v>19</v>
      </c>
      <c r="T115" s="47"/>
      <c r="U115" s="48"/>
      <c r="V115" s="49"/>
      <c r="W115" s="49"/>
      <c r="X115" s="47" t="s">
        <v>19</v>
      </c>
      <c r="Y115" s="47"/>
      <c r="Z115" s="49"/>
      <c r="AA115" s="50"/>
      <c r="AB115" s="49"/>
      <c r="AC115" s="31" t="s">
        <v>26</v>
      </c>
      <c r="AD115" s="37"/>
      <c r="AE115" s="33"/>
      <c r="AF115" s="35" t="s">
        <v>27</v>
      </c>
      <c r="AG115" s="51"/>
    </row>
    <row r="116" customFormat="false" ht="21" hidden="false" customHeight="true" outlineLevel="0" collapsed="false">
      <c r="AC116" s="31" t="s">
        <v>28</v>
      </c>
      <c r="AD116" s="37"/>
      <c r="AE116" s="33"/>
      <c r="AF116" s="35" t="n">
        <v>0.01</v>
      </c>
      <c r="AG116" s="51"/>
    </row>
    <row r="117" customFormat="false" ht="19.5" hidden="false" customHeight="true" outlineLevel="0" collapsed="false">
      <c r="S117" s="7" t="s">
        <v>29</v>
      </c>
      <c r="T117" s="7"/>
      <c r="U117" s="7"/>
      <c r="V117" s="7"/>
      <c r="W117" s="7"/>
      <c r="X117" s="7" t="s">
        <v>30</v>
      </c>
      <c r="Y117" s="7"/>
      <c r="Z117" s="7"/>
      <c r="AA117" s="7"/>
      <c r="AB117" s="7"/>
      <c r="AC117" s="31" t="s">
        <v>31</v>
      </c>
      <c r="AD117" s="37"/>
      <c r="AE117" s="33"/>
      <c r="AF117" s="35" t="n">
        <v>0.2</v>
      </c>
      <c r="AG117" s="51"/>
    </row>
    <row r="118" customFormat="false" ht="19.5" hidden="false" customHeight="true" outlineLevel="0" collapsed="false">
      <c r="S118" s="42" t="s">
        <v>32</v>
      </c>
      <c r="T118" s="42"/>
      <c r="U118" s="33"/>
      <c r="V118" s="35" t="n">
        <f aca="false">5916039/15000000</f>
        <v>0.3944026</v>
      </c>
      <c r="W118" s="33"/>
      <c r="X118" s="31" t="s">
        <v>19</v>
      </c>
      <c r="Y118" s="31"/>
      <c r="Z118" s="52"/>
      <c r="AA118" s="53"/>
      <c r="AB118" s="33"/>
      <c r="AC118" s="31" t="s">
        <v>33</v>
      </c>
      <c r="AD118" s="33"/>
      <c r="AE118" s="33"/>
      <c r="AF118" s="45" t="s">
        <v>34</v>
      </c>
      <c r="AG118" s="51"/>
    </row>
    <row r="119" customFormat="false" ht="19.5" hidden="false" customHeight="true" outlineLevel="0" collapsed="false">
      <c r="S119" s="42" t="s">
        <v>35</v>
      </c>
      <c r="T119" s="42"/>
      <c r="U119" s="33"/>
      <c r="V119" s="43" t="n">
        <v>-0.16</v>
      </c>
      <c r="W119" s="33"/>
      <c r="X119" s="31" t="s">
        <v>19</v>
      </c>
      <c r="Y119" s="31"/>
      <c r="Z119" s="53"/>
      <c r="AA119" s="53"/>
      <c r="AB119" s="33"/>
      <c r="AC119" s="31" t="s">
        <v>36</v>
      </c>
      <c r="AD119" s="37"/>
      <c r="AE119" s="33"/>
      <c r="AF119" s="54" t="s">
        <v>37</v>
      </c>
      <c r="AG119" s="51"/>
    </row>
    <row r="120" customFormat="false" ht="20.25" hidden="false" customHeight="true" outlineLevel="0" collapsed="false">
      <c r="S120" s="42" t="s">
        <v>29</v>
      </c>
      <c r="T120" s="42"/>
      <c r="U120" s="33"/>
      <c r="V120" s="43" t="n">
        <f aca="false">V118+V119</f>
        <v>0.2344026</v>
      </c>
      <c r="W120" s="33"/>
      <c r="X120" s="31" t="s">
        <v>19</v>
      </c>
      <c r="Y120" s="31"/>
      <c r="Z120" s="53"/>
      <c r="AA120" s="53"/>
      <c r="AB120" s="33"/>
      <c r="AC120" s="31" t="s">
        <v>38</v>
      </c>
      <c r="AD120" s="33"/>
      <c r="AE120" s="33"/>
      <c r="AF120" s="45" t="s">
        <v>39</v>
      </c>
      <c r="AG120" s="51"/>
    </row>
    <row r="121" customFormat="false" ht="13.5" hidden="false" customHeight="false" outlineLevel="0" collapsed="false">
      <c r="S121" s="5"/>
      <c r="T121" s="5"/>
      <c r="U121" s="55"/>
      <c r="V121" s="51"/>
      <c r="W121" s="51"/>
      <c r="Y121" s="55"/>
      <c r="Z121" s="55"/>
      <c r="AA121" s="55"/>
      <c r="AD121" s="5"/>
      <c r="AE121" s="5"/>
      <c r="AF121" s="5"/>
    </row>
    <row r="122" customFormat="false" ht="13.5" hidden="false" customHeight="false" outlineLevel="0" collapsed="false">
      <c r="S122" s="5"/>
      <c r="T122" s="5"/>
      <c r="U122" s="55"/>
      <c r="V122" s="51"/>
      <c r="W122" s="55"/>
      <c r="X122" s="55"/>
      <c r="Y122" s="55"/>
      <c r="Z122" s="55"/>
      <c r="AA122" s="51"/>
    </row>
    <row r="123" customFormat="false" ht="13.5" hidden="false" customHeight="false" outlineLevel="0" collapsed="false">
      <c r="U123" s="51"/>
      <c r="V123" s="51"/>
      <c r="W123" s="51"/>
      <c r="X123" s="51"/>
      <c r="Y123" s="51"/>
      <c r="Z123" s="51"/>
      <c r="AA123" s="51"/>
    </row>
    <row r="124" customFormat="false" ht="13.5" hidden="false" customHeight="false" outlineLevel="0" collapsed="false">
      <c r="U124" s="51"/>
      <c r="V124" s="51"/>
      <c r="W124" s="51"/>
      <c r="X124" s="51"/>
      <c r="Y124" s="51"/>
      <c r="Z124" s="51"/>
      <c r="AA124" s="51"/>
      <c r="AE124" s="56"/>
    </row>
    <row r="125" customFormat="false" ht="19.7" hidden="false" customHeight="false" outlineLevel="0" collapsed="false">
      <c r="S125" s="6" t="s">
        <v>15</v>
      </c>
      <c r="T125" s="6"/>
      <c r="U125" s="6"/>
      <c r="V125" s="6"/>
      <c r="W125" s="33"/>
      <c r="X125" s="6" t="s">
        <v>40</v>
      </c>
      <c r="Y125" s="6"/>
      <c r="Z125" s="6"/>
      <c r="AA125" s="6"/>
      <c r="AC125" s="6" t="s">
        <v>18</v>
      </c>
      <c r="AD125" s="6"/>
      <c r="AE125" s="6"/>
      <c r="AF125" s="6"/>
    </row>
    <row r="126" customFormat="false" ht="17.35" hidden="false" customHeight="false" outlineLevel="0" collapsed="false">
      <c r="S126" s="31" t="s">
        <v>41</v>
      </c>
      <c r="T126" s="31"/>
      <c r="U126" s="32"/>
      <c r="V126" s="35" t="n">
        <v>0.1</v>
      </c>
      <c r="W126" s="33"/>
      <c r="X126" s="31" t="s">
        <v>42</v>
      </c>
      <c r="Y126" s="31"/>
      <c r="Z126" s="33"/>
      <c r="AA126" s="34" t="n">
        <v>0.0308060657517499</v>
      </c>
      <c r="AC126" s="31" t="s">
        <v>20</v>
      </c>
      <c r="AD126" s="31"/>
      <c r="AE126" s="33"/>
      <c r="AF126" s="35" t="s">
        <v>21</v>
      </c>
    </row>
    <row r="127" customFormat="false" ht="17.35" hidden="false" customHeight="false" outlineLevel="0" collapsed="false">
      <c r="S127" s="31" t="s">
        <v>19</v>
      </c>
      <c r="T127" s="31"/>
      <c r="U127" s="32"/>
      <c r="V127" s="35" t="n">
        <v>0.09</v>
      </c>
      <c r="W127" s="33"/>
      <c r="X127" s="31" t="s">
        <v>43</v>
      </c>
      <c r="Y127" s="37"/>
      <c r="Z127" s="33"/>
      <c r="AA127" s="34" t="n">
        <v>0.023183323592441</v>
      </c>
      <c r="AC127" s="31" t="s">
        <v>22</v>
      </c>
      <c r="AD127" s="37"/>
      <c r="AE127" s="33"/>
      <c r="AF127" s="38" t="s">
        <v>23</v>
      </c>
    </row>
    <row r="128" customFormat="false" ht="17.35" hidden="false" customHeight="false" outlineLevel="0" collapsed="false">
      <c r="S128" s="31" t="s">
        <v>44</v>
      </c>
      <c r="T128" s="31"/>
      <c r="U128" s="32"/>
      <c r="V128" s="35" t="n">
        <v>0.08</v>
      </c>
      <c r="W128" s="33"/>
      <c r="X128" s="31" t="s">
        <v>45</v>
      </c>
      <c r="Y128" s="37"/>
      <c r="Z128" s="33"/>
      <c r="AA128" s="39" t="n">
        <v>0.0316591063999812</v>
      </c>
      <c r="AC128" s="31" t="s">
        <v>24</v>
      </c>
      <c r="AD128" s="37"/>
      <c r="AE128" s="33"/>
      <c r="AF128" s="40" t="s">
        <v>25</v>
      </c>
    </row>
    <row r="129" customFormat="false" ht="17.35" hidden="false" customHeight="false" outlineLevel="0" collapsed="false">
      <c r="S129" s="31" t="s">
        <v>46</v>
      </c>
      <c r="T129" s="31"/>
      <c r="U129" s="32"/>
      <c r="V129" s="35" t="n">
        <v>0.07</v>
      </c>
      <c r="W129" s="49"/>
      <c r="X129" s="31" t="s">
        <v>47</v>
      </c>
      <c r="Y129" s="37"/>
      <c r="Z129" s="33"/>
      <c r="AA129" s="39" t="n">
        <v>0.00696108122768169</v>
      </c>
      <c r="AC129" s="31" t="s">
        <v>26</v>
      </c>
      <c r="AD129" s="37"/>
      <c r="AE129" s="33"/>
      <c r="AF129" s="35" t="s">
        <v>27</v>
      </c>
    </row>
    <row r="130" customFormat="false" ht="17.35" hidden="false" customHeight="false" outlineLevel="0" collapsed="false">
      <c r="X130" s="31" t="s">
        <v>48</v>
      </c>
      <c r="Y130" s="37"/>
      <c r="Z130" s="33"/>
      <c r="AA130" s="35" t="n">
        <v>1.72792112752163</v>
      </c>
      <c r="AC130" s="31" t="s">
        <v>28</v>
      </c>
      <c r="AD130" s="37"/>
      <c r="AE130" s="33"/>
      <c r="AF130" s="35" t="n">
        <v>0.01</v>
      </c>
    </row>
    <row r="131" customFormat="false" ht="19.7" hidden="false" customHeight="false" outlineLevel="0" collapsed="false">
      <c r="S131" s="6" t="s">
        <v>29</v>
      </c>
      <c r="T131" s="6"/>
      <c r="U131" s="6"/>
      <c r="V131" s="6"/>
      <c r="W131" s="33"/>
      <c r="X131" s="31" t="s">
        <v>49</v>
      </c>
      <c r="Y131" s="37"/>
      <c r="Z131" s="33"/>
      <c r="AA131" s="35" t="s">
        <v>50</v>
      </c>
      <c r="AC131" s="31" t="s">
        <v>31</v>
      </c>
      <c r="AD131" s="37"/>
      <c r="AE131" s="33"/>
      <c r="AF131" s="35" t="n">
        <v>0.2</v>
      </c>
    </row>
    <row r="132" customFormat="false" ht="17.35" hidden="false" customHeight="false" outlineLevel="0" collapsed="false">
      <c r="S132" s="42" t="s">
        <v>32</v>
      </c>
      <c r="T132" s="42"/>
      <c r="U132" s="33"/>
      <c r="V132" s="35" t="n">
        <v>0.85</v>
      </c>
      <c r="W132" s="33"/>
      <c r="X132" s="31" t="s">
        <v>51</v>
      </c>
      <c r="Y132" s="33"/>
      <c r="Z132" s="33"/>
      <c r="AA132" s="45" t="n">
        <v>0.45</v>
      </c>
      <c r="AC132" s="31" t="s">
        <v>33</v>
      </c>
      <c r="AD132" s="33"/>
      <c r="AE132" s="33"/>
      <c r="AF132" s="45" t="s">
        <v>34</v>
      </c>
    </row>
    <row r="133" customFormat="false" ht="17.35" hidden="false" customHeight="false" outlineLevel="0" collapsed="false">
      <c r="S133" s="42" t="s">
        <v>35</v>
      </c>
      <c r="T133" s="42"/>
      <c r="U133" s="33"/>
      <c r="V133" s="43" t="n">
        <v>-0.16</v>
      </c>
      <c r="W133" s="33"/>
      <c r="X133" s="31" t="s">
        <v>52</v>
      </c>
      <c r="Y133" s="37"/>
      <c r="Z133" s="33"/>
      <c r="AA133" s="45" t="n">
        <v>0.55</v>
      </c>
      <c r="AC133" s="31" t="s">
        <v>36</v>
      </c>
      <c r="AD133" s="37"/>
      <c r="AE133" s="33"/>
      <c r="AF133" s="54" t="s">
        <v>37</v>
      </c>
    </row>
    <row r="134" customFormat="false" ht="17.35" hidden="false" customHeight="false" outlineLevel="0" collapsed="false">
      <c r="S134" s="42" t="s">
        <v>29</v>
      </c>
      <c r="T134" s="42"/>
      <c r="U134" s="33"/>
      <c r="V134" s="43" t="n">
        <f aca="false">V132+V133</f>
        <v>0.69</v>
      </c>
      <c r="W134" s="33"/>
      <c r="X134" s="31" t="s">
        <v>53</v>
      </c>
      <c r="Y134" s="33"/>
      <c r="Z134" s="33"/>
      <c r="AA134" s="44" t="n">
        <v>-0.0177663667991055</v>
      </c>
      <c r="AC134" s="31" t="s">
        <v>38</v>
      </c>
      <c r="AD134" s="33"/>
      <c r="AE134" s="33"/>
      <c r="AF134" s="45" t="s">
        <v>39</v>
      </c>
    </row>
    <row r="135" customFormat="false" ht="17.35" hidden="false" customHeight="false" outlineLevel="0" collapsed="false">
      <c r="X135" s="31"/>
    </row>
    <row r="136" customFormat="false" ht="17.35" hidden="false" customHeight="false" outlineLevel="0" collapsed="false">
      <c r="X136" s="31"/>
    </row>
    <row r="137" customFormat="false" ht="17.35" hidden="false" customHeight="false" outlineLevel="0" collapsed="false">
      <c r="X137" s="31"/>
    </row>
  </sheetData>
  <mergeCells count="18">
    <mergeCell ref="D17:F17"/>
    <mergeCell ref="D18:F18"/>
    <mergeCell ref="D59:G59"/>
    <mergeCell ref="H59:I59"/>
    <mergeCell ref="K59:N59"/>
    <mergeCell ref="S112:T112"/>
    <mergeCell ref="X112:Y112"/>
    <mergeCell ref="AC112:AD112"/>
    <mergeCell ref="S113:T113"/>
    <mergeCell ref="X113:Y113"/>
    <mergeCell ref="S114:T114"/>
    <mergeCell ref="X114:Y114"/>
    <mergeCell ref="S115:T115"/>
    <mergeCell ref="X115:Y115"/>
    <mergeCell ref="S125:V125"/>
    <mergeCell ref="X125:AA125"/>
    <mergeCell ref="AC125:AF125"/>
    <mergeCell ref="S131:V131"/>
  </mergeCells>
  <printOptions headings="false" gridLines="false" gridLinesSet="true" horizontalCentered="true" verticalCentered="false"/>
  <pageMargins left="0.0395833333333333" right="0.0395833333333333" top="0.0395833333333333" bottom="0.0784722222222222"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D61"/>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selection pane="topLeft" activeCell="BR11" activeCellId="0" sqref="BR11"/>
    </sheetView>
  </sheetViews>
  <sheetFormatPr defaultColWidth="8.859375" defaultRowHeight="14.25" customHeight="true" zeroHeight="false" outlineLevelRow="0" outlineLevelCol="0"/>
  <cols>
    <col collapsed="false" customWidth="true" hidden="false" outlineLevel="0" max="1" min="1" style="57" width="13.15"/>
    <col collapsed="false" customWidth="true" hidden="false" outlineLevel="0" max="2" min="2" style="58" width="13.15"/>
    <col collapsed="false" customWidth="true" hidden="false" outlineLevel="0" max="3" min="3" style="57" width="9.14"/>
    <col collapsed="false" customWidth="true" hidden="false" outlineLevel="0" max="6" min="4" style="57" width="17.15"/>
    <col collapsed="false" customWidth="true" hidden="false" outlineLevel="0" max="7" min="7" style="57" width="10.14"/>
    <col collapsed="false" customWidth="true" hidden="false" outlineLevel="0" max="8" min="8" style="57" width="14.57"/>
    <col collapsed="false" customWidth="true" hidden="false" outlineLevel="0" max="9" min="9" style="57" width="8.57"/>
    <col collapsed="false" customWidth="false" hidden="false" outlineLevel="0" max="10" min="10" style="57" width="8.86"/>
    <col collapsed="false" customWidth="true" hidden="false" outlineLevel="0" max="11" min="11" style="57" width="10.57"/>
    <col collapsed="false" customWidth="true" hidden="false" outlineLevel="0" max="12" min="12" style="57" width="10"/>
    <col collapsed="false" customWidth="true" hidden="false" outlineLevel="0" max="14" min="13" style="57" width="8.57"/>
    <col collapsed="false" customWidth="true" hidden="false" outlineLevel="0" max="15" min="15" style="57" width="11.14"/>
    <col collapsed="false" customWidth="true" hidden="false" outlineLevel="0" max="16" min="16" style="57" width="13.86"/>
    <col collapsed="false" customWidth="true" hidden="false" outlineLevel="0" max="17" min="17" style="59" width="13"/>
    <col collapsed="false" customWidth="false" hidden="false" outlineLevel="0" max="18" min="18" style="57" width="8.86"/>
    <col collapsed="false" customWidth="true" hidden="false" outlineLevel="0" max="19" min="19" style="57" width="9.14"/>
    <col collapsed="false" customWidth="true" hidden="false" outlineLevel="0" max="20" min="20" style="57" width="12.57"/>
    <col collapsed="false" customWidth="false" hidden="false" outlineLevel="0" max="21" min="21" style="57" width="8.86"/>
    <col collapsed="false" customWidth="true" hidden="false" outlineLevel="0" max="22" min="22" style="57" width="15"/>
    <col collapsed="false" customWidth="true" hidden="false" outlineLevel="0" max="23" min="23" style="57" width="8.15"/>
    <col collapsed="false" customWidth="false" hidden="false" outlineLevel="0" max="24" min="24" style="57" width="8.86"/>
    <col collapsed="false" customWidth="true" hidden="false" outlineLevel="0" max="25" min="25" style="57" width="10.57"/>
    <col collapsed="false" customWidth="true" hidden="false" outlineLevel="0" max="26" min="26" style="57" width="10"/>
    <col collapsed="false" customWidth="true" hidden="false" outlineLevel="0" max="28" min="27" style="57" width="8.57"/>
    <col collapsed="false" customWidth="false" hidden="false" outlineLevel="0" max="29" min="29" style="57" width="8.86"/>
    <col collapsed="false" customWidth="true" hidden="false" outlineLevel="0" max="32" min="30" style="57" width="10.85"/>
    <col collapsed="false" customWidth="true" hidden="false" outlineLevel="0" max="33" min="33" style="57" width="15.57"/>
    <col collapsed="false" customWidth="true" hidden="false" outlineLevel="0" max="34" min="34" style="57" width="9.57"/>
    <col collapsed="false" customWidth="true" hidden="false" outlineLevel="0" max="35" min="35" style="57" width="11.57"/>
    <col collapsed="false" customWidth="true" hidden="false" outlineLevel="0" max="36" min="36" style="57" width="13"/>
    <col collapsed="false" customWidth="true" hidden="false" outlineLevel="0" max="40" min="37" style="57" width="14.14"/>
    <col collapsed="false" customWidth="false" hidden="false" outlineLevel="0" max="41" min="41" style="57" width="8.86"/>
    <col collapsed="false" customWidth="true" hidden="false" outlineLevel="0" max="42" min="42" style="57" width="11.43"/>
    <col collapsed="false" customWidth="true" hidden="false" outlineLevel="0" max="50" min="43" style="57" width="15"/>
    <col collapsed="false" customWidth="false" hidden="false" outlineLevel="0" max="51" min="51" style="57" width="8.86"/>
    <col collapsed="false" customWidth="true" hidden="false" outlineLevel="0" max="53" min="52" style="60" width="14.42"/>
    <col collapsed="false" customWidth="true" hidden="false" outlineLevel="0" max="54" min="54" style="60" width="19.42"/>
    <col collapsed="false" customWidth="true" hidden="false" outlineLevel="0" max="55" min="55" style="59" width="9"/>
    <col collapsed="false" customWidth="true" hidden="false" outlineLevel="0" max="56" min="56" style="59" width="12.57"/>
    <col collapsed="false" customWidth="true" hidden="false" outlineLevel="0" max="57" min="57" style="57" width="12.57"/>
    <col collapsed="false" customWidth="true" hidden="false" outlineLevel="0" max="58" min="58" style="61" width="11.57"/>
    <col collapsed="false" customWidth="true" hidden="false" outlineLevel="0" max="59" min="59" style="61" width="13"/>
    <col collapsed="false" customWidth="true" hidden="false" outlineLevel="0" max="60" min="60" style="61" width="11"/>
    <col collapsed="false" customWidth="true" hidden="false" outlineLevel="0" max="61" min="61" style="59" width="12.57"/>
    <col collapsed="false" customWidth="true" hidden="false" outlineLevel="0" max="62" min="62" style="57" width="13"/>
    <col collapsed="false" customWidth="true" hidden="false" outlineLevel="0" max="63" min="63" style="57" width="12.42"/>
    <col collapsed="false" customWidth="true" hidden="false" outlineLevel="0" max="65" min="64" style="57" width="13.15"/>
    <col collapsed="false" customWidth="true" hidden="false" outlineLevel="0" max="67" min="66" style="57" width="12.57"/>
    <col collapsed="false" customWidth="true" hidden="false" outlineLevel="0" max="68" min="68" style="59" width="8.57"/>
    <col collapsed="false" customWidth="true" hidden="false" outlineLevel="0" max="69" min="69" style="59" width="16"/>
    <col collapsed="false" customWidth="true" hidden="false" outlineLevel="0" max="70" min="70" style="59" width="7.15"/>
    <col collapsed="false" customWidth="true" hidden="false" outlineLevel="0" max="71" min="71" style="59" width="25.14"/>
    <col collapsed="false" customWidth="false" hidden="false" outlineLevel="0" max="72" min="72" style="59" width="8.86"/>
    <col collapsed="false" customWidth="true" hidden="false" outlineLevel="0" max="78" min="73" style="59" width="13.15"/>
    <col collapsed="false" customWidth="true" hidden="false" outlineLevel="0" max="79" min="79" style="62" width="12.57"/>
    <col collapsed="false" customWidth="true" hidden="false" outlineLevel="0" max="80" min="80" style="59" width="14.57"/>
    <col collapsed="false" customWidth="true" hidden="false" outlineLevel="0" max="81" min="81" style="59" width="14.86"/>
    <col collapsed="false" customWidth="true" hidden="false" outlineLevel="0" max="82" min="82" style="63" width="13.86"/>
    <col collapsed="false" customWidth="true" hidden="false" outlineLevel="0" max="83" min="83" style="63" width="11.14"/>
    <col collapsed="false" customWidth="true" hidden="false" outlineLevel="0" max="84" min="84" style="57" width="13.15"/>
    <col collapsed="false" customWidth="true" hidden="false" outlineLevel="0" max="85" min="85" style="57" width="17.15"/>
    <col collapsed="false" customWidth="true" hidden="false" outlineLevel="0" max="86" min="86" style="57" width="11.14"/>
    <col collapsed="false" customWidth="false" hidden="false" outlineLevel="0" max="88" min="87" style="57" width="8.86"/>
    <col collapsed="false" customWidth="true" hidden="false" outlineLevel="0" max="89" min="89" style="57" width="12.15"/>
    <col collapsed="false" customWidth="true" hidden="false" outlineLevel="0" max="90" min="90" style="59" width="8.57"/>
    <col collapsed="false" customWidth="true" hidden="false" outlineLevel="0" max="91" min="91" style="59" width="14.14"/>
    <col collapsed="false" customWidth="true" hidden="false" outlineLevel="0" max="92" min="92" style="57" width="10.42"/>
    <col collapsed="false" customWidth="false" hidden="false" outlineLevel="0" max="96" min="93" style="57" width="8.86"/>
    <col collapsed="false" customWidth="false" hidden="false" outlineLevel="0" max="97" min="97" style="64" width="8.86"/>
    <col collapsed="false" customWidth="true" hidden="false" outlineLevel="0" max="98" min="98" style="57" width="25"/>
    <col collapsed="false" customWidth="true" hidden="false" outlineLevel="0" max="100" min="99" style="57" width="9.14"/>
    <col collapsed="false" customWidth="true" hidden="false" outlineLevel="0" max="101" min="101" style="57" width="22.57"/>
    <col collapsed="false" customWidth="true" hidden="false" outlineLevel="0" max="102" min="102" style="57" width="8.15"/>
    <col collapsed="false" customWidth="true" hidden="false" outlineLevel="0" max="103" min="103" style="57" width="10.85"/>
    <col collapsed="false" customWidth="true" hidden="false" outlineLevel="0" max="107" min="104" style="57" width="11.43"/>
    <col collapsed="false" customWidth="true" hidden="false" outlineLevel="0" max="115" min="108" style="57" width="9.14"/>
    <col collapsed="false" customWidth="true" hidden="false" outlineLevel="0" max="116" min="116" style="65" width="9.14"/>
    <col collapsed="false" customWidth="false" hidden="false" outlineLevel="0" max="117" min="117" style="59" width="8.86"/>
    <col collapsed="false" customWidth="true" hidden="false" outlineLevel="0" max="118" min="118" style="59" width="8.15"/>
    <col collapsed="false" customWidth="false" hidden="false" outlineLevel="0" max="119" min="119" style="59" width="8.86"/>
    <col collapsed="false" customWidth="true" hidden="false" outlineLevel="0" max="120" min="120" style="59" width="10.14"/>
    <col collapsed="false" customWidth="true" hidden="false" outlineLevel="0" max="121" min="121" style="57" width="7.86"/>
    <col collapsed="false" customWidth="true" hidden="false" outlineLevel="0" max="122" min="122" style="65" width="9.14"/>
    <col collapsed="false" customWidth="true" hidden="false" outlineLevel="0" max="123" min="123" style="65" width="5.14"/>
    <col collapsed="false" customWidth="true" hidden="false" outlineLevel="0" max="124" min="124" style="65" width="6.43"/>
    <col collapsed="false" customWidth="true" hidden="false" outlineLevel="0" max="125" min="125" style="57" width="26.42"/>
    <col collapsed="false" customWidth="false" hidden="false" outlineLevel="0" max="16384" min="126" style="57" width="8.86"/>
  </cols>
  <sheetData>
    <row r="1" s="72" customFormat="true" ht="30.75" hidden="false" customHeight="true" outlineLevel="0" collapsed="false">
      <c r="A1" s="66"/>
      <c r="B1" s="67"/>
      <c r="C1" s="68" t="s">
        <v>54</v>
      </c>
      <c r="D1" s="68"/>
      <c r="E1" s="68"/>
      <c r="F1" s="68"/>
      <c r="G1" s="68"/>
      <c r="H1" s="68"/>
      <c r="I1" s="68"/>
      <c r="J1" s="68"/>
      <c r="K1" s="68"/>
      <c r="L1" s="68"/>
      <c r="M1" s="68"/>
      <c r="N1" s="68"/>
      <c r="O1" s="68"/>
      <c r="P1" s="68"/>
      <c r="Q1" s="68"/>
      <c r="R1" s="69"/>
      <c r="S1" s="68" t="s">
        <v>55</v>
      </c>
      <c r="T1" s="68"/>
      <c r="U1" s="68"/>
      <c r="V1" s="68"/>
      <c r="W1" s="68"/>
      <c r="X1" s="68"/>
      <c r="Y1" s="68"/>
      <c r="Z1" s="68"/>
      <c r="AA1" s="68"/>
      <c r="AB1" s="68"/>
      <c r="AC1" s="69"/>
      <c r="AD1" s="68" t="s">
        <v>56</v>
      </c>
      <c r="AE1" s="68"/>
      <c r="AF1" s="68"/>
      <c r="AG1" s="68"/>
      <c r="AH1" s="68"/>
      <c r="AI1" s="68"/>
      <c r="AJ1" s="68"/>
      <c r="AK1" s="68"/>
      <c r="AL1" s="68"/>
      <c r="AM1" s="68"/>
      <c r="AN1" s="68"/>
      <c r="AO1" s="69"/>
      <c r="AP1" s="68" t="s">
        <v>57</v>
      </c>
      <c r="AQ1" s="68"/>
      <c r="AR1" s="68"/>
      <c r="AS1" s="68"/>
      <c r="AT1" s="68"/>
      <c r="AU1" s="68"/>
      <c r="AV1" s="68"/>
      <c r="AW1" s="68"/>
      <c r="AX1" s="68"/>
      <c r="AY1" s="69"/>
      <c r="AZ1" s="68" t="s">
        <v>58</v>
      </c>
      <c r="BA1" s="68"/>
      <c r="BB1" s="68"/>
      <c r="BC1" s="68"/>
      <c r="BD1" s="68"/>
      <c r="BE1" s="68"/>
      <c r="BF1" s="68"/>
      <c r="BG1" s="68"/>
      <c r="BH1" s="68"/>
      <c r="BI1" s="68"/>
      <c r="BJ1" s="68"/>
      <c r="BK1" s="68"/>
      <c r="BL1" s="68"/>
      <c r="BM1" s="68"/>
      <c r="BN1" s="68"/>
      <c r="BO1" s="69"/>
      <c r="BP1" s="70"/>
      <c r="BQ1" s="70"/>
      <c r="BR1" s="70"/>
      <c r="BS1" s="70"/>
      <c r="BT1" s="70"/>
      <c r="BU1" s="70"/>
      <c r="BV1" s="70"/>
      <c r="BW1" s="70"/>
      <c r="BX1" s="70"/>
      <c r="BY1" s="70"/>
      <c r="BZ1" s="70"/>
      <c r="CA1" s="71"/>
      <c r="CB1" s="71"/>
      <c r="CC1" s="71"/>
      <c r="CD1" s="71"/>
      <c r="CE1" s="71"/>
      <c r="CF1" s="71"/>
      <c r="CG1" s="71"/>
      <c r="CH1" s="71"/>
      <c r="CI1" s="71"/>
      <c r="CJ1" s="71"/>
      <c r="CK1" s="71"/>
      <c r="CL1" s="71"/>
      <c r="CM1" s="71"/>
      <c r="CN1" s="71"/>
      <c r="CO1" s="71"/>
      <c r="CP1" s="71"/>
      <c r="CQ1" s="71"/>
      <c r="CR1" s="71"/>
      <c r="CS1" s="71"/>
      <c r="DL1" s="73"/>
      <c r="DM1" s="70"/>
      <c r="DN1" s="70"/>
      <c r="DO1" s="70"/>
      <c r="DP1" s="70"/>
      <c r="DR1" s="73"/>
      <c r="DS1" s="73"/>
      <c r="DT1" s="73"/>
    </row>
    <row r="2" s="72" customFormat="true" ht="39.55" hidden="false" customHeight="true" outlineLevel="0" collapsed="false">
      <c r="A2" s="74" t="s">
        <v>59</v>
      </c>
      <c r="B2" s="75" t="s">
        <v>60</v>
      </c>
      <c r="C2" s="76" t="s">
        <v>59</v>
      </c>
      <c r="D2" s="76" t="s">
        <v>61</v>
      </c>
      <c r="E2" s="76" t="s">
        <v>62</v>
      </c>
      <c r="F2" s="76" t="s">
        <v>63</v>
      </c>
      <c r="G2" s="76" t="s">
        <v>64</v>
      </c>
      <c r="H2" s="76" t="s">
        <v>65</v>
      </c>
      <c r="I2" s="76" t="s">
        <v>66</v>
      </c>
      <c r="J2" s="76" t="s">
        <v>67</v>
      </c>
      <c r="K2" s="76" t="s">
        <v>68</v>
      </c>
      <c r="L2" s="76" t="s">
        <v>69</v>
      </c>
      <c r="M2" s="76" t="s">
        <v>42</v>
      </c>
      <c r="N2" s="76" t="s">
        <v>43</v>
      </c>
      <c r="O2" s="76" t="s">
        <v>48</v>
      </c>
      <c r="P2" s="76" t="s">
        <v>49</v>
      </c>
      <c r="Q2" s="76" t="s">
        <v>70</v>
      </c>
      <c r="R2" s="76"/>
      <c r="S2" s="76" t="s">
        <v>71</v>
      </c>
      <c r="T2" s="76" t="s">
        <v>72</v>
      </c>
      <c r="U2" s="76" t="s">
        <v>73</v>
      </c>
      <c r="V2" s="76" t="s">
        <v>74</v>
      </c>
      <c r="W2" s="76" t="s">
        <v>66</v>
      </c>
      <c r="X2" s="76" t="s">
        <v>67</v>
      </c>
      <c r="Y2" s="76" t="s">
        <v>68</v>
      </c>
      <c r="Z2" s="69" t="s">
        <v>69</v>
      </c>
      <c r="AA2" s="76" t="s">
        <v>42</v>
      </c>
      <c r="AB2" s="76" t="s">
        <v>43</v>
      </c>
      <c r="AC2" s="76"/>
      <c r="AD2" s="76" t="s">
        <v>75</v>
      </c>
      <c r="AE2" s="76" t="s">
        <v>76</v>
      </c>
      <c r="AF2" s="76" t="s">
        <v>77</v>
      </c>
      <c r="AG2" s="76" t="s">
        <v>78</v>
      </c>
      <c r="AH2" s="76" t="s">
        <v>79</v>
      </c>
      <c r="AI2" s="76" t="s">
        <v>80</v>
      </c>
      <c r="AJ2" s="76" t="s">
        <v>81</v>
      </c>
      <c r="AK2" s="76" t="s">
        <v>82</v>
      </c>
      <c r="AL2" s="76" t="s">
        <v>83</v>
      </c>
      <c r="AM2" s="76" t="s">
        <v>84</v>
      </c>
      <c r="AN2" s="76" t="s">
        <v>85</v>
      </c>
      <c r="AO2" s="76"/>
      <c r="AP2" s="76" t="s">
        <v>77</v>
      </c>
      <c r="AQ2" s="76" t="s">
        <v>78</v>
      </c>
      <c r="AR2" s="76" t="s">
        <v>79</v>
      </c>
      <c r="AS2" s="76" t="s">
        <v>80</v>
      </c>
      <c r="AT2" s="76" t="s">
        <v>81</v>
      </c>
      <c r="AU2" s="76" t="s">
        <v>82</v>
      </c>
      <c r="AV2" s="76" t="s">
        <v>83</v>
      </c>
      <c r="AW2" s="76" t="s">
        <v>84</v>
      </c>
      <c r="AX2" s="76" t="s">
        <v>85</v>
      </c>
      <c r="AY2" s="76"/>
      <c r="AZ2" s="76" t="s">
        <v>86</v>
      </c>
      <c r="BA2" s="76" t="s">
        <v>22</v>
      </c>
      <c r="BB2" s="76" t="s">
        <v>87</v>
      </c>
      <c r="BC2" s="76" t="s">
        <v>88</v>
      </c>
      <c r="BD2" s="76" t="s">
        <v>89</v>
      </c>
      <c r="BE2" s="74" t="s">
        <v>60</v>
      </c>
      <c r="BF2" s="76" t="s">
        <v>90</v>
      </c>
      <c r="BG2" s="76" t="s">
        <v>91</v>
      </c>
      <c r="BH2" s="74" t="s">
        <v>88</v>
      </c>
      <c r="BI2" s="76" t="s">
        <v>92</v>
      </c>
      <c r="BJ2" s="76" t="s">
        <v>29</v>
      </c>
      <c r="BK2" s="76" t="s">
        <v>93</v>
      </c>
      <c r="BL2" s="76" t="s">
        <v>94</v>
      </c>
      <c r="BM2" s="76" t="s">
        <v>95</v>
      </c>
      <c r="BN2" s="76" t="s">
        <v>96</v>
      </c>
      <c r="BO2" s="76"/>
      <c r="BP2" s="70"/>
      <c r="BQ2" s="68" t="s">
        <v>97</v>
      </c>
      <c r="BR2" s="68"/>
      <c r="BS2" s="68"/>
      <c r="BT2" s="70"/>
      <c r="BU2" s="70"/>
      <c r="BV2" s="70"/>
      <c r="BW2" s="70"/>
      <c r="BX2" s="70"/>
      <c r="BY2" s="70"/>
      <c r="BZ2" s="70"/>
      <c r="CA2" s="77" t="s">
        <v>98</v>
      </c>
      <c r="CB2" s="77"/>
      <c r="CC2" s="77"/>
      <c r="CD2" s="77"/>
      <c r="CE2" s="77"/>
      <c r="CF2" s="77"/>
      <c r="CG2" s="77"/>
      <c r="CH2" s="77"/>
      <c r="CI2" s="77"/>
      <c r="CJ2" s="77"/>
      <c r="CK2" s="77"/>
      <c r="CL2" s="77"/>
      <c r="CM2" s="77"/>
      <c r="CN2" s="77"/>
      <c r="CO2" s="77"/>
      <c r="CP2" s="77"/>
      <c r="CQ2" s="77"/>
      <c r="CR2" s="77"/>
      <c r="CS2" s="77"/>
      <c r="DL2" s="73"/>
      <c r="DM2" s="70"/>
      <c r="DN2" s="70"/>
      <c r="DO2" s="70"/>
      <c r="DP2" s="70"/>
      <c r="DR2" s="73"/>
      <c r="DS2" s="73"/>
      <c r="DT2" s="73"/>
    </row>
    <row r="3" customFormat="false" ht="15" hidden="false" customHeight="false" outlineLevel="0" collapsed="false">
      <c r="A3" s="78" t="n">
        <v>45838</v>
      </c>
      <c r="B3" s="79" t="n">
        <v>1</v>
      </c>
      <c r="C3" s="80" t="n">
        <v>0</v>
      </c>
      <c r="D3" s="80" t="n">
        <f aca="false">((1+C3)*(1))-1</f>
        <v>0</v>
      </c>
      <c r="E3" s="80"/>
      <c r="F3" s="80"/>
      <c r="G3" s="80"/>
      <c r="H3" s="81" t="n">
        <f aca="false">((1+D3)^(365/(_xlfn.DAYS(A3,"1/07/2025"))))-1</f>
        <v>0</v>
      </c>
      <c r="I3" s="80" t="str">
        <f aca="false">IFERROR(STDEV(C3),"")</f>
        <v/>
      </c>
      <c r="J3" s="82" t="str">
        <f aca="false">IFERROR(SUMIF(C3:C$4,"&gt;0",C3:C$4)/ABS(SUMIF(C3:C$4,"&lt;0",C3:C$4)),"")</f>
        <v/>
      </c>
      <c r="K3" s="82" t="n">
        <f aca="false">AG3/AK3</f>
        <v>-12</v>
      </c>
      <c r="L3" s="82" t="n">
        <f aca="false">G3/AN3</f>
        <v>0</v>
      </c>
      <c r="M3" s="80" t="n">
        <f aca="false">MAX($C3:C$4)</f>
        <v>0.0266</v>
      </c>
      <c r="N3" s="80" t="n">
        <f aca="false">MIN($C3:C$4)</f>
        <v>0</v>
      </c>
      <c r="O3" s="81"/>
      <c r="P3" s="83" t="str">
        <f aca="false">IFERROR(AVERAGEIF($S3:S$4,"&lt;0",$C3:C$4)/(AVERAGEIF($S3:S$4,"&lt;0",$S3:S$4)),"-")</f>
        <v>-</v>
      </c>
      <c r="Q3" s="84"/>
      <c r="R3" s="81"/>
      <c r="S3" s="80" t="n">
        <v>0</v>
      </c>
      <c r="T3" s="80" t="n">
        <f aca="false">((1+S3)*(1))-1</f>
        <v>0</v>
      </c>
      <c r="U3" s="81"/>
      <c r="V3" s="83"/>
      <c r="W3" s="80" t="str">
        <f aca="false">IFERROR(STDEV(S3),"")</f>
        <v/>
      </c>
      <c r="X3" s="82" t="str">
        <f aca="false">IFERROR(SUMIF(S3:S$4,"&gt;0",S3:S$4)/ABS(SUMIF(S3:S$4,"&lt;0",S3:S$4)),"")</f>
        <v/>
      </c>
      <c r="Y3" s="82" t="n">
        <f aca="false">AQ3/AU3</f>
        <v>-12</v>
      </c>
      <c r="Z3" s="82" t="n">
        <f aca="false">U3/AX3</f>
        <v>0</v>
      </c>
      <c r="AA3" s="81" t="n">
        <f aca="false">MAX($S3:S$4)</f>
        <v>0.0316591063999812</v>
      </c>
      <c r="AB3" s="81" t="n">
        <f aca="false">MIN($S3:S$4)</f>
        <v>0</v>
      </c>
      <c r="AC3" s="81"/>
      <c r="AD3" s="80" t="n">
        <v>0</v>
      </c>
      <c r="AE3" s="80" t="n">
        <f aca="false">(1.0025^(1/12))-1</f>
        <v>0.00020809499864316</v>
      </c>
      <c r="AF3" s="81" t="n">
        <f aca="false">C3-AE3</f>
        <v>-0.00020809499864316</v>
      </c>
      <c r="AG3" s="81" t="n">
        <f aca="false">G3-(AE3*12)</f>
        <v>-0.00249713998371792</v>
      </c>
      <c r="AH3" s="80" t="n">
        <f aca="false">IF(AF3&lt;0, AF3, "")</f>
        <v>-0.00020809499864316</v>
      </c>
      <c r="AI3" s="80" t="n">
        <f aca="false">IFERROR(AH3*AH3,0)</f>
        <v>4.33035284602968E-008</v>
      </c>
      <c r="AJ3" s="80" t="n">
        <f aca="false">SQRT(SUM(AI3)/12)</f>
        <v>6.00718517418217E-005</v>
      </c>
      <c r="AK3" s="80" t="n">
        <f aca="false">AJ3*(SQRT(12))</f>
        <v>0.00020809499864316</v>
      </c>
      <c r="AL3" s="80" t="n">
        <f aca="false">IFERROR(AF3*AF3,0)</f>
        <v>4.33035284602968E-008</v>
      </c>
      <c r="AM3" s="80" t="n">
        <f aca="false">SQRT(SUM(AL3)/12)</f>
        <v>6.00718517418217E-005</v>
      </c>
      <c r="AN3" s="80" t="n">
        <f aca="false">AM3*(SQRT(12))</f>
        <v>0.00020809499864316</v>
      </c>
      <c r="AO3" s="81"/>
      <c r="AP3" s="81" t="n">
        <f aca="false">S3-AE3</f>
        <v>-0.00020809499864316</v>
      </c>
      <c r="AQ3" s="81" t="n">
        <f aca="false">U3-(AE3*12)</f>
        <v>-0.00249713998371792</v>
      </c>
      <c r="AR3" s="80" t="n">
        <f aca="false">IF(AP3&lt;0, AP3, "")</f>
        <v>-0.00020809499864316</v>
      </c>
      <c r="AS3" s="80" t="n">
        <f aca="false">IFERROR(AR3*AR3,0)</f>
        <v>4.33035284602968E-008</v>
      </c>
      <c r="AT3" s="80" t="n">
        <f aca="false">SQRT(SUM(AS3)/12)</f>
        <v>6.00718517418217E-005</v>
      </c>
      <c r="AU3" s="80" t="n">
        <f aca="false">AT3*(SQRT(12))</f>
        <v>0.00020809499864316</v>
      </c>
      <c r="AV3" s="80" t="n">
        <f aca="false">IFERROR(AP3*AP3,0)</f>
        <v>4.33035284602968E-008</v>
      </c>
      <c r="AW3" s="80" t="n">
        <f aca="false">SQRT(SUM(AV3)/12)</f>
        <v>6.00718517418217E-005</v>
      </c>
      <c r="AX3" s="80" t="n">
        <f aca="false">AW3*(SQRT(12))</f>
        <v>0.00020809499864316</v>
      </c>
      <c r="AY3" s="81"/>
      <c r="AZ3" s="85" t="n">
        <v>150</v>
      </c>
      <c r="BA3" s="86" t="n">
        <v>25</v>
      </c>
      <c r="BB3" s="87" t="n">
        <v>1322</v>
      </c>
      <c r="BC3" s="81" t="n">
        <f aca="false">BH3/BE3</f>
        <v>0.0519737626714371</v>
      </c>
      <c r="BD3" s="81" t="n">
        <f aca="false">AVERAGE($BC3:BC$4)</f>
        <v>0.0519737626714371</v>
      </c>
      <c r="BE3" s="86" t="n">
        <v>41925</v>
      </c>
      <c r="BF3" s="86" t="n">
        <v>39747</v>
      </c>
      <c r="BG3" s="86" t="n">
        <v>0</v>
      </c>
      <c r="BH3" s="86" t="n">
        <v>2179</v>
      </c>
      <c r="BI3" s="88" t="n">
        <f aca="false">BF3+BG3</f>
        <v>39747</v>
      </c>
      <c r="BJ3" s="89" t="n">
        <f aca="false">BF3-BG3</f>
        <v>39747</v>
      </c>
      <c r="BK3" s="88" t="n">
        <f aca="false">BI3/BE3*1000</f>
        <v>948.050089445438</v>
      </c>
      <c r="BL3" s="88" t="n">
        <f aca="false">BJ3/BE3*1000</f>
        <v>948.050089445438</v>
      </c>
      <c r="BM3" s="90" t="n">
        <f aca="false">AVERAGE($BK3:BK$4)/10</f>
        <v>94.8050089445438</v>
      </c>
      <c r="BN3" s="90" t="n">
        <f aca="false">AVERAGE($BL3:BL$4)/10</f>
        <v>94.8050089445438</v>
      </c>
      <c r="BO3" s="90"/>
      <c r="BQ3" s="91" t="s">
        <v>99</v>
      </c>
      <c r="BR3" s="92" t="n">
        <f aca="false">BS3/$BS$14</f>
        <v>-0.0942024762553357</v>
      </c>
      <c r="BS3" s="93" t="n">
        <v>-1434969.41896024</v>
      </c>
      <c r="BU3" s="94"/>
      <c r="BV3" s="94"/>
      <c r="BW3" s="94"/>
      <c r="BX3" s="94"/>
      <c r="BY3" s="94"/>
      <c r="BZ3" s="94"/>
      <c r="CA3" s="95" t="str">
        <f aca="false">'[1]New Stock and Weightings'!I232</f>
        <v>RBL</v>
      </c>
      <c r="CB3" s="96" t="str">
        <f aca="false">LEFT(CA3,3)&amp;"-AU"</f>
        <v>RBL-AU</v>
      </c>
      <c r="CC3" s="97" t="n">
        <f aca="false">'[1]New Stock and Weightings'!J232</f>
        <v>3.8438</v>
      </c>
      <c r="CD3" s="98" t="e">
        <f aca="false">_xll.fdsb(CB3,"FREF_MARKET_VALUE_COMPANY(NOW,,,AUD,,0,,""LEGACY"")")</f>
        <v>#NAME?</v>
      </c>
      <c r="CE3" s="99" t="e">
        <f aca="false">_xll.fdsb(CB3,"P_VOLUME_AVG(-1AY,NOW)")</f>
        <v>#NAME?</v>
      </c>
      <c r="CF3" s="98" t="e">
        <f aca="false">_xll.fdsb(CB3,"FG_PRICE(NOW,NOW,,AUD)")</f>
        <v>#NAME?</v>
      </c>
      <c r="CG3" s="98" t="str">
        <f aca="false">IFERROR(CF3*CE3,"")</f>
        <v/>
      </c>
      <c r="CH3" s="100"/>
      <c r="CI3" s="101" t="s">
        <v>100</v>
      </c>
      <c r="CJ3" s="102" t="n">
        <f aca="false">CC3/100</f>
        <v>0.038438</v>
      </c>
      <c r="CK3" s="103" t="n">
        <v>356.719787597656</v>
      </c>
      <c r="CL3" s="104" t="n">
        <v>1.2613505</v>
      </c>
      <c r="CM3" s="105" t="n">
        <v>0.975</v>
      </c>
      <c r="CN3" s="106" t="n">
        <v>1.2298167375</v>
      </c>
      <c r="CO3" s="107" t="n">
        <f aca="false">CN3*CJ3</f>
        <v>0.047271695756025</v>
      </c>
      <c r="CP3" s="108" t="n">
        <f aca="false">CJ3</f>
        <v>0.038438</v>
      </c>
      <c r="CQ3" s="109" t="n">
        <f aca="false">CJ3*$CB$35</f>
        <v>11.5314</v>
      </c>
      <c r="CR3" s="109" t="n">
        <f aca="false">CQ3/CN3</f>
        <v>9.37651899537593</v>
      </c>
      <c r="CS3" s="110" t="e">
        <f aca="false">#REF!+1</f>
        <v>#REF!</v>
      </c>
      <c r="CT3" s="111" t="s">
        <v>101</v>
      </c>
      <c r="CU3" s="100"/>
      <c r="CV3" s="100"/>
      <c r="CW3" s="100"/>
      <c r="CX3" s="100"/>
      <c r="CY3" s="112"/>
      <c r="CZ3" s="112"/>
      <c r="DA3" s="112"/>
      <c r="DB3" s="112"/>
      <c r="DC3" s="113"/>
      <c r="DD3" s="114"/>
      <c r="DE3" s="114"/>
      <c r="DF3" s="114"/>
      <c r="DG3" s="115"/>
      <c r="DH3" s="116"/>
      <c r="DI3" s="116"/>
      <c r="DJ3" s="116"/>
      <c r="DK3" s="117"/>
      <c r="DL3" s="118"/>
      <c r="DM3" s="94"/>
      <c r="DN3" s="119"/>
      <c r="DO3" s="94"/>
      <c r="DP3" s="94"/>
      <c r="DQ3" s="118"/>
      <c r="DR3" s="119"/>
      <c r="DS3" s="118"/>
      <c r="DT3" s="118"/>
      <c r="DU3" s="112"/>
      <c r="DV3" s="112"/>
      <c r="DW3" s="112"/>
      <c r="DX3" s="112"/>
      <c r="DY3" s="112"/>
      <c r="DZ3" s="112"/>
      <c r="EA3" s="112"/>
      <c r="EB3" s="112"/>
      <c r="EC3" s="112"/>
      <c r="ED3" s="112"/>
    </row>
    <row r="4" customFormat="false" ht="15" hidden="false" customHeight="false" outlineLevel="0" collapsed="false">
      <c r="A4" s="78" t="n">
        <v>45869</v>
      </c>
      <c r="B4" s="79" t="n">
        <v>1.0266</v>
      </c>
      <c r="C4" s="80" t="n">
        <f aca="false">B4/B3-1</f>
        <v>0.0266</v>
      </c>
      <c r="D4" s="80" t="n">
        <f aca="false">((1+C4)*(1))-1</f>
        <v>0.0266</v>
      </c>
      <c r="E4" s="80"/>
      <c r="F4" s="80"/>
      <c r="G4" s="80"/>
      <c r="H4" s="81" t="n">
        <f aca="false">((1+D4)^(365/(_xlfn.DAYS(A4,"1/07/2025"))))-1</f>
        <v>0.376307032795519</v>
      </c>
      <c r="I4" s="80" t="str">
        <f aca="false">IFERROR(STDEV(C4),"")</f>
        <v/>
      </c>
      <c r="J4" s="82" t="str">
        <f aca="false">IFERROR(SUMIF(C$4:C4,"&gt;0",C$4:C4)/ABS(SUMIF(C$4:C4,"&lt;0",C$4:C4)),"")</f>
        <v/>
      </c>
      <c r="K4" s="83" t="e">
        <f aca="false">AG4/AK4</f>
        <v>#DIV/0!</v>
      </c>
      <c r="L4" s="82" t="n">
        <f aca="false">G4/AN4</f>
        <v>0</v>
      </c>
      <c r="M4" s="80" t="n">
        <f aca="false">MAX($C$4:C4)</f>
        <v>0.0266</v>
      </c>
      <c r="N4" s="80" t="n">
        <f aca="false">MIN($C$4:C4)</f>
        <v>0.0266</v>
      </c>
      <c r="O4" s="81" t="n">
        <f aca="false">AVERAGEIF($S4:S$4,"&gt;0",$C4:C$4)/(AVERAGEIF($S4:S$4,"&gt;0",$S4:S$4))</f>
        <v>0.840200593912398</v>
      </c>
      <c r="P4" s="83" t="str">
        <f aca="false">IFERROR(AVERAGEIF($S$4:S4,"&lt;0",$C$4:C4)/(AVERAGEIF($S$4:S4,"&lt;0",$S$4:S4)),"-")</f>
        <v>-</v>
      </c>
      <c r="Q4" s="84" t="str">
        <f aca="false">IFERROR(COVAR($C$4:C4,$S$4:S4)/VAR($S$4:S4),"")</f>
        <v/>
      </c>
      <c r="R4" s="81"/>
      <c r="S4" s="80" t="n">
        <f aca="false">[2]Monthly!$D$43</f>
        <v>0.0316591063999812</v>
      </c>
      <c r="T4" s="80" t="n">
        <f aca="false">((1+S4)*(1+T3))-1</f>
        <v>0.0316591063999812</v>
      </c>
      <c r="U4" s="81"/>
      <c r="V4" s="120" t="n">
        <f aca="false">((1+T4)^(365/(_xlfn.DAYS(A4,"30/06/2025"))))-1</f>
        <v>0.443371173232137</v>
      </c>
      <c r="W4" s="80" t="str">
        <f aca="false">IFERROR(STDEV(S4),"")</f>
        <v/>
      </c>
      <c r="X4" s="82" t="str">
        <f aca="false">IFERROR(SUMIF(S$4:S4,"&gt;0",S$4:S4)/ABS(SUMIF(S$4:S4,"&lt;0",S$4:S4)),"")</f>
        <v/>
      </c>
      <c r="Y4" s="82" t="e">
        <f aca="false">AQ4/AU4</f>
        <v>#DIV/0!</v>
      </c>
      <c r="Z4" s="82" t="n">
        <f aca="false">U4/AX4</f>
        <v>0</v>
      </c>
      <c r="AA4" s="81" t="n">
        <f aca="false">MAX($S$4:S4)</f>
        <v>0.0316591063999812</v>
      </c>
      <c r="AB4" s="81" t="n">
        <f aca="false">MIN($S$4:S4)</f>
        <v>0.0316591063999812</v>
      </c>
      <c r="AC4" s="81"/>
      <c r="AD4" s="80" t="n">
        <v>0</v>
      </c>
      <c r="AE4" s="80" t="n">
        <f aca="false">(1.0025^(1/12))-1</f>
        <v>0.00020809499864316</v>
      </c>
      <c r="AF4" s="81" t="n">
        <f aca="false">C4-AE4</f>
        <v>0.0263919050013568</v>
      </c>
      <c r="AG4" s="81" t="n">
        <f aca="false">G4-(AE4*12)</f>
        <v>-0.00249713998371792</v>
      </c>
      <c r="AH4" s="80" t="str">
        <f aca="false">IF(AF4&lt;0, AF4, "")</f>
        <v/>
      </c>
      <c r="AI4" s="80" t="n">
        <f aca="false">IFERROR(AH4*AH4,0)</f>
        <v>0</v>
      </c>
      <c r="AJ4" s="80" t="n">
        <f aca="false">SQRT(SUM(AI4)/12)</f>
        <v>0</v>
      </c>
      <c r="AK4" s="80" t="n">
        <f aca="false">AJ4*(SQRT(12))</f>
        <v>0</v>
      </c>
      <c r="AL4" s="80" t="n">
        <f aca="false">IFERROR(AF4*AF4,0)</f>
        <v>0.000696532649600642</v>
      </c>
      <c r="AM4" s="80" t="n">
        <f aca="false">SQRT(SUM(AL4)/12)</f>
        <v>0.00761868672848019</v>
      </c>
      <c r="AN4" s="80" t="n">
        <f aca="false">AM4*(SQRT(12))</f>
        <v>0.0263919050013568</v>
      </c>
      <c r="AO4" s="81"/>
      <c r="AP4" s="81" t="n">
        <f aca="false">S4-AE4</f>
        <v>0.031451011401338</v>
      </c>
      <c r="AQ4" s="81" t="n">
        <f aca="false">U4-(AE4*12)</f>
        <v>-0.00249713998371792</v>
      </c>
      <c r="AR4" s="80" t="str">
        <f aca="false">IF(AP4&lt;0, AP4, "")</f>
        <v/>
      </c>
      <c r="AS4" s="80" t="n">
        <f aca="false">IFERROR(AR4*AR4,0)</f>
        <v>0</v>
      </c>
      <c r="AT4" s="80" t="n">
        <f aca="false">SQRT(SUM(AS4)/12)</f>
        <v>0</v>
      </c>
      <c r="AU4" s="80" t="n">
        <f aca="false">AT4*(SQRT(12))</f>
        <v>0</v>
      </c>
      <c r="AV4" s="80" t="n">
        <f aca="false">IFERROR(AP4*AP4,0)</f>
        <v>0.000989166118167092</v>
      </c>
      <c r="AW4" s="80" t="n">
        <f aca="false">SQRT(SUM(AV4)/12)</f>
        <v>0.00907912494942424</v>
      </c>
      <c r="AX4" s="80" t="n">
        <f aca="false">AW4*(SQRT(12))</f>
        <v>0.031451011401338</v>
      </c>
      <c r="AY4" s="81"/>
      <c r="AZ4" s="85" t="n">
        <v>150</v>
      </c>
      <c r="BA4" s="86" t="n">
        <v>25</v>
      </c>
      <c r="BB4" s="87" t="n">
        <v>1322</v>
      </c>
      <c r="BC4" s="81" t="n">
        <f aca="false">BH4/BE4</f>
        <v>0.0519737626714371</v>
      </c>
      <c r="BD4" s="81" t="n">
        <f aca="false">AVERAGE($BC$4:BC4)</f>
        <v>0.0519737626714371</v>
      </c>
      <c r="BE4" s="86" t="n">
        <v>41925</v>
      </c>
      <c r="BF4" s="86" t="n">
        <v>39747</v>
      </c>
      <c r="BG4" s="86" t="n">
        <v>0</v>
      </c>
      <c r="BH4" s="86" t="n">
        <v>2179</v>
      </c>
      <c r="BI4" s="88" t="n">
        <f aca="false">BF4+BG4</f>
        <v>39747</v>
      </c>
      <c r="BJ4" s="89" t="n">
        <f aca="false">BF4-BG4</f>
        <v>39747</v>
      </c>
      <c r="BK4" s="88" t="n">
        <f aca="false">BI4/BE4*1000</f>
        <v>948.050089445438</v>
      </c>
      <c r="BL4" s="88" t="n">
        <f aca="false">BJ4/BE4*1000</f>
        <v>948.050089445438</v>
      </c>
      <c r="BM4" s="90" t="n">
        <f aca="false">AVERAGE($BK$4:BK4)/10</f>
        <v>94.8050089445438</v>
      </c>
      <c r="BN4" s="90" t="n">
        <f aca="false">AVERAGE($BL$4:BL4)/10</f>
        <v>94.8050089445438</v>
      </c>
      <c r="BO4" s="90"/>
      <c r="BQ4" s="121" t="s">
        <v>102</v>
      </c>
      <c r="BR4" s="122" t="n">
        <v>0.05</v>
      </c>
      <c r="BS4" s="123" t="n">
        <v>49704.86239</v>
      </c>
      <c r="BU4" s="94"/>
      <c r="BV4" s="94"/>
      <c r="BW4" s="94"/>
      <c r="BX4" s="94"/>
      <c r="BY4" s="94"/>
      <c r="BZ4" s="94"/>
      <c r="CA4" s="95" t="str">
        <f aca="false">'[1]New Stock and Weightings'!I233</f>
        <v>SLC</v>
      </c>
      <c r="CB4" s="96" t="str">
        <f aca="false">LEFT(CA4,3)&amp;"-AU"</f>
        <v>SLC-AU</v>
      </c>
      <c r="CC4" s="97" t="n">
        <f aca="false">'[1]New Stock and Weightings'!J233</f>
        <v>4.066</v>
      </c>
      <c r="CD4" s="98" t="e">
        <f aca="false">_xll.fdsb(CB4,"FREF_MARKET_VALUE_COMPANY(NOW,,,AUD,,0,,""LEGACY"")")</f>
        <v>#NAME?</v>
      </c>
      <c r="CE4" s="99" t="e">
        <f aca="false">_xll.fdsb(CB4,"P_VOLUME_AVG(-1AY,NOW)")</f>
        <v>#NAME?</v>
      </c>
      <c r="CF4" s="98" t="e">
        <f aca="false">_xll.fdsb(CB4,"FG_PRICE(NOW,NOW,,AUD)")</f>
        <v>#NAME?</v>
      </c>
      <c r="CG4" s="98" t="str">
        <f aca="false">IFERROR(CF4*CE4,"")</f>
        <v/>
      </c>
      <c r="CH4" s="100"/>
      <c r="CI4" s="101" t="s">
        <v>100</v>
      </c>
      <c r="CJ4" s="102" t="n">
        <f aca="false">CC4/100</f>
        <v>0.04066</v>
      </c>
      <c r="CK4" s="103" t="n">
        <v>356.719787597656</v>
      </c>
      <c r="CL4" s="104" t="n">
        <v>1.2613505</v>
      </c>
      <c r="CM4" s="105" t="n">
        <v>0.975</v>
      </c>
      <c r="CN4" s="106" t="n">
        <v>1.2298167375</v>
      </c>
      <c r="CO4" s="107" t="n">
        <f aca="false">CN4*CJ4</f>
        <v>0.05000434854675</v>
      </c>
      <c r="CP4" s="108" t="n">
        <f aca="false">CJ4</f>
        <v>0.04066</v>
      </c>
      <c r="CQ4" s="109" t="n">
        <f aca="false">CJ4*$CB$35</f>
        <v>12.198</v>
      </c>
      <c r="CR4" s="109" t="n">
        <f aca="false">CQ4/CN4</f>
        <v>9.91855097434792</v>
      </c>
      <c r="CS4" s="110" t="e">
        <f aca="false">#REF!+1</f>
        <v>#REF!</v>
      </c>
      <c r="CT4" s="111" t="s">
        <v>101</v>
      </c>
      <c r="CU4" s="100"/>
      <c r="CV4" s="100"/>
      <c r="CW4" s="100"/>
      <c r="CX4" s="100"/>
      <c r="CY4" s="112"/>
      <c r="CZ4" s="112"/>
      <c r="DA4" s="112"/>
      <c r="DB4" s="112"/>
      <c r="DC4" s="113"/>
      <c r="DD4" s="114"/>
      <c r="DE4" s="114"/>
      <c r="DF4" s="114"/>
      <c r="DG4" s="115"/>
      <c r="DH4" s="116"/>
      <c r="DI4" s="116"/>
      <c r="DJ4" s="116"/>
      <c r="DK4" s="117"/>
      <c r="DL4" s="118"/>
      <c r="DM4" s="94"/>
      <c r="DN4" s="119"/>
      <c r="DO4" s="94"/>
      <c r="DP4" s="94"/>
      <c r="DQ4" s="118"/>
      <c r="DR4" s="119"/>
      <c r="DS4" s="118"/>
      <c r="DT4" s="118"/>
      <c r="DU4" s="112"/>
      <c r="DV4" s="112"/>
      <c r="DW4" s="112"/>
      <c r="DX4" s="112"/>
      <c r="DY4" s="112"/>
      <c r="DZ4" s="112"/>
      <c r="EA4" s="112"/>
      <c r="EB4" s="112"/>
      <c r="EC4" s="112"/>
      <c r="ED4" s="112"/>
    </row>
    <row r="5" customFormat="false" ht="15" hidden="false" customHeight="false" outlineLevel="0" collapsed="false">
      <c r="A5" s="78" t="n">
        <v>45900</v>
      </c>
      <c r="B5" s="79" t="n">
        <v>1.0504</v>
      </c>
      <c r="C5" s="80" t="n">
        <f aca="false">B5/B4-1</f>
        <v>0.023183323592441</v>
      </c>
      <c r="D5" s="80" t="n">
        <f aca="false">((1+C5)*(1+D4))-1</f>
        <v>0.0504</v>
      </c>
      <c r="E5" s="80" t="n">
        <f aca="false">D5</f>
        <v>0.0504</v>
      </c>
      <c r="F5" s="80" t="n">
        <f aca="false">E5</f>
        <v>0.0504</v>
      </c>
      <c r="G5" s="80" t="n">
        <f aca="false">F5</f>
        <v>0.0504</v>
      </c>
      <c r="H5" s="81" t="n">
        <f aca="false">((1+D5)^(365/(_xlfn.DAYS(A5,"1/07/2025"))))-1</f>
        <v>0.34207937198549</v>
      </c>
      <c r="I5" s="80" t="n">
        <f aca="false">IFERROR(STDEV(C4:C5),"")</f>
        <v>0.00241595505690502</v>
      </c>
      <c r="J5" s="82" t="str">
        <f aca="false">IFERROR(SUMIF(C$4:C5,"&gt;0",C$4:C5)/ABS(SUMIF(C$4:C5,"&lt;0",C$4:C5)),"")</f>
        <v/>
      </c>
      <c r="K5" s="83" t="e">
        <f aca="false">AG5/AK5</f>
        <v>#DIV/0!</v>
      </c>
      <c r="L5" s="82" t="n">
        <f aca="false">G5/AN5</f>
        <v>1.44035644205838</v>
      </c>
      <c r="M5" s="80" t="n">
        <f aca="false">MAX($C$4:C5)</f>
        <v>0.0266</v>
      </c>
      <c r="N5" s="80" t="n">
        <f aca="false">MIN($C$4:C5)</f>
        <v>0.023183323592441</v>
      </c>
      <c r="O5" s="81" t="n">
        <f aca="false">AVERAGEIF($S$4:S5,"&gt;0",$C$4:C5)/(AVERAGEIF($S$4:S5,"&gt;0",$S$4:S5))</f>
        <v>1.25466983008787</v>
      </c>
      <c r="P5" s="83" t="str">
        <f aca="false">IFERROR(AVERAGEIF($S$4:S5,"&lt;0",$C$4:C5)/(AVERAGEIF($S$4:S5,"&lt;0",$S$4:S5)),"-")</f>
        <v>-</v>
      </c>
      <c r="Q5" s="84" t="n">
        <f aca="false">IFERROR(COVAR($C$4:C5,$S$4:S5)/VAR($S$4:S5),"")</f>
        <v>0.0722653801544318</v>
      </c>
      <c r="R5" s="81"/>
      <c r="S5" s="80" t="n">
        <f aca="false">[2]Monthly!$E$43</f>
        <v>0.00801931926914845</v>
      </c>
      <c r="T5" s="80" t="n">
        <f aca="false">((1+S5)*(1+T4))-1</f>
        <v>0.0399323101511271</v>
      </c>
      <c r="U5" s="81"/>
      <c r="V5" s="120" t="n">
        <f aca="false">((1+T5)^(365/(_xlfn.DAYS(A5,"30/06/2025"))))-1</f>
        <v>0.259245776328169</v>
      </c>
      <c r="W5" s="80" t="n">
        <f aca="false">IFERROR(STDEV(S4:S5),"")</f>
        <v>0.0167158537860183</v>
      </c>
      <c r="X5" s="82" t="str">
        <f aca="false">IFERROR(SUMIF(S$4:S5,"&gt;0",S$4:S5)/ABS(SUMIF(S$4:S5,"&lt;0",S$4:S5)),"")</f>
        <v/>
      </c>
      <c r="Y5" s="82" t="e">
        <f aca="false">AQ5/AU5</f>
        <v>#DIV/0!</v>
      </c>
      <c r="Z5" s="82" t="n">
        <f aca="false">U5/AX5</f>
        <v>0</v>
      </c>
      <c r="AA5" s="81" t="n">
        <f aca="false">MAX($S$4:S5)</f>
        <v>0.0316591063999812</v>
      </c>
      <c r="AB5" s="81" t="n">
        <f aca="false">MIN($S$4:S5)</f>
        <v>0.00801931926914845</v>
      </c>
      <c r="AC5" s="81"/>
      <c r="AD5" s="80" t="n">
        <v>0</v>
      </c>
      <c r="AE5" s="80" t="n">
        <f aca="false">(1.0025^(1/12))-1</f>
        <v>0.00020809499864316</v>
      </c>
      <c r="AF5" s="81" t="n">
        <f aca="false">C5-AE5</f>
        <v>0.0229752285937979</v>
      </c>
      <c r="AG5" s="81" t="n">
        <f aca="false">G5-(AE5*12)</f>
        <v>0.0479028600162821</v>
      </c>
      <c r="AH5" s="80" t="str">
        <f aca="false">IF(AF5&lt;0, AF5, "")</f>
        <v/>
      </c>
      <c r="AI5" s="80" t="n">
        <f aca="false">IFERROR(AH5*AH5,0)</f>
        <v>0</v>
      </c>
      <c r="AJ5" s="80" t="n">
        <f aca="false">SQRT(SUM(AI4:AI5)/12)</f>
        <v>0</v>
      </c>
      <c r="AK5" s="80" t="n">
        <f aca="false">AJ5*(SQRT(12))</f>
        <v>0</v>
      </c>
      <c r="AL5" s="80" t="n">
        <f aca="false">IFERROR(AF5*AF5,0)</f>
        <v>0.000527861128937267</v>
      </c>
      <c r="AM5" s="80" t="n">
        <f aca="false">SQRT(SUM(AL4:AL5)/12)</f>
        <v>0.0101011293862696</v>
      </c>
      <c r="AN5" s="80" t="n">
        <f aca="false">AM5*(SQRT(12))</f>
        <v>0.0349913386216919</v>
      </c>
      <c r="AO5" s="81"/>
      <c r="AP5" s="81" t="n">
        <f aca="false">S5-AE5</f>
        <v>0.00781122427050529</v>
      </c>
      <c r="AQ5" s="81" t="n">
        <f aca="false">U5-(AE5*12)</f>
        <v>-0.00249713998371792</v>
      </c>
      <c r="AR5" s="80" t="str">
        <f aca="false">IF(AP5&lt;0, AP5, "")</f>
        <v/>
      </c>
      <c r="AS5" s="80" t="n">
        <f aca="false">IFERROR(AR5*AR5,0)</f>
        <v>0</v>
      </c>
      <c r="AT5" s="80" t="n">
        <f aca="false">SQRT(SUM(AS4:AS5)/12)</f>
        <v>0</v>
      </c>
      <c r="AU5" s="80" t="n">
        <f aca="false">AT5*(SQRT(12))</f>
        <v>0</v>
      </c>
      <c r="AV5" s="80" t="n">
        <f aca="false">IFERROR(AP5*AP5,0)</f>
        <v>6.10152246041309E-005</v>
      </c>
      <c r="AW5" s="80" t="n">
        <f aca="false">SQRT(SUM(AV4:AV5)/12)</f>
        <v>0.00935495119696527</v>
      </c>
      <c r="AX5" s="80" t="n">
        <f aca="false">AW5*(SQRT(12))</f>
        <v>0.0324065015509423</v>
      </c>
      <c r="AY5" s="81"/>
      <c r="AZ5" s="85" t="n">
        <v>147</v>
      </c>
      <c r="BA5" s="86" t="n">
        <v>25</v>
      </c>
      <c r="BB5" s="87" t="n">
        <v>1389</v>
      </c>
      <c r="BC5" s="81" t="n">
        <f aca="false">BH5/BE5</f>
        <v>0.0903329960001928</v>
      </c>
      <c r="BD5" s="81" t="n">
        <f aca="false">AVERAGE($BC$4:BC5)</f>
        <v>0.0711533793358149</v>
      </c>
      <c r="BE5" s="86" t="n">
        <v>41502</v>
      </c>
      <c r="BF5" s="86" t="n">
        <v>37753</v>
      </c>
      <c r="BG5" s="86" t="n">
        <v>0</v>
      </c>
      <c r="BH5" s="86" t="n">
        <v>3749</v>
      </c>
      <c r="BI5" s="88" t="n">
        <f aca="false">BF5+BG5</f>
        <v>37753</v>
      </c>
      <c r="BJ5" s="89" t="n">
        <f aca="false">BF5-BG5</f>
        <v>37753</v>
      </c>
      <c r="BK5" s="88" t="n">
        <f aca="false">BI5/BE5*1000</f>
        <v>909.667003999807</v>
      </c>
      <c r="BL5" s="88" t="n">
        <f aca="false">BJ5/BE5*1000</f>
        <v>909.667003999807</v>
      </c>
      <c r="BM5" s="90" t="n">
        <f aca="false">AVERAGE($BK$4:BK5)/10</f>
        <v>92.8858546722623</v>
      </c>
      <c r="BN5" s="90" t="n">
        <f aca="false">AVERAGE($BL$4:BL5)/10</f>
        <v>92.8858546722623</v>
      </c>
      <c r="BO5" s="90"/>
      <c r="BQ5" s="121" t="s">
        <v>103</v>
      </c>
      <c r="BR5" s="92" t="n">
        <f aca="false">BS5/$BS$14</f>
        <v>0.0229767033734125</v>
      </c>
      <c r="BS5" s="123" t="n">
        <v>350000</v>
      </c>
      <c r="BU5" s="94"/>
      <c r="BV5" s="94"/>
      <c r="BW5" s="94"/>
      <c r="BX5" s="94"/>
      <c r="BY5" s="94"/>
      <c r="BZ5" s="94"/>
      <c r="CA5" s="95" t="str">
        <f aca="false">'[1]New Stock and Weightings'!I234</f>
        <v>TNE</v>
      </c>
      <c r="CB5" s="96" t="str">
        <f aca="false">LEFT(CA5,3)&amp;"-AU"</f>
        <v>TNE-AU</v>
      </c>
      <c r="CC5" s="97" t="n">
        <f aca="false">'[1]New Stock and Weightings'!J234</f>
        <v>1.7782</v>
      </c>
      <c r="CD5" s="98" t="e">
        <f aca="false">_xll.fdsb(CB5,"FREF_MARKET_VALUE_COMPANY(NOW,,,AUD,,0,,""LEGACY"")")</f>
        <v>#NAME?</v>
      </c>
      <c r="CE5" s="99" t="e">
        <f aca="false">_xll.fdsb(CB5,"P_VOLUME_AVG(-1AY,NOW)")</f>
        <v>#NAME?</v>
      </c>
      <c r="CF5" s="98" t="e">
        <f aca="false">_xll.fdsb(CB5,"FG_PRICE(NOW,NOW,,AUD)")</f>
        <v>#NAME?</v>
      </c>
      <c r="CG5" s="98" t="str">
        <f aca="false">IFERROR(CF5*CE5,"")</f>
        <v/>
      </c>
      <c r="CI5" s="101" t="s">
        <v>104</v>
      </c>
      <c r="CJ5" s="102" t="n">
        <f aca="false">CC5/100</f>
        <v>0.017782</v>
      </c>
      <c r="CK5" s="103" t="n">
        <v>2499.2705078125</v>
      </c>
      <c r="CL5" s="104" t="n">
        <v>1.396039</v>
      </c>
      <c r="CM5" s="105" t="n">
        <v>7.78</v>
      </c>
      <c r="CN5" s="106" t="n">
        <v>10.86118342</v>
      </c>
      <c r="CO5" s="107" t="n">
        <f aca="false">CN5*CJ5</f>
        <v>0.19313356357444</v>
      </c>
      <c r="CP5" s="108" t="n">
        <f aca="false">CJ5</f>
        <v>0.017782</v>
      </c>
      <c r="CQ5" s="109" t="n">
        <f aca="false">CJ5*$CB$35</f>
        <v>5.3346</v>
      </c>
      <c r="CR5" s="109" t="n">
        <f aca="false">CQ5/CN5</f>
        <v>0.491161947433533</v>
      </c>
      <c r="CS5" s="110" t="e">
        <f aca="false">CS4+1</f>
        <v>#REF!</v>
      </c>
      <c r="CT5" s="124"/>
      <c r="CU5" s="100"/>
      <c r="CV5" s="100"/>
      <c r="CW5" s="100"/>
      <c r="CX5" s="100"/>
      <c r="CY5" s="112"/>
      <c r="CZ5" s="112"/>
      <c r="DA5" s="112"/>
      <c r="DB5" s="112"/>
      <c r="DC5" s="113"/>
      <c r="DD5" s="114"/>
      <c r="DE5" s="114"/>
      <c r="DF5" s="114"/>
      <c r="DG5" s="115"/>
      <c r="DH5" s="116"/>
      <c r="DI5" s="116"/>
      <c r="DJ5" s="116"/>
      <c r="DK5" s="117"/>
      <c r="DL5" s="118"/>
      <c r="DM5" s="94"/>
      <c r="DN5" s="119"/>
      <c r="DO5" s="94"/>
      <c r="DP5" s="94"/>
      <c r="DQ5" s="118"/>
      <c r="DR5" s="119"/>
      <c r="DS5" s="118"/>
      <c r="DT5" s="118"/>
      <c r="DU5" s="112"/>
      <c r="DV5" s="112"/>
      <c r="DW5" s="112"/>
      <c r="DX5" s="112"/>
      <c r="DY5" s="112"/>
      <c r="DZ5" s="112"/>
      <c r="EA5" s="112"/>
      <c r="EB5" s="112"/>
      <c r="EC5" s="112"/>
      <c r="ED5" s="112"/>
    </row>
    <row r="6" customFormat="false" ht="15" hidden="false" customHeight="false" outlineLevel="0" collapsed="false">
      <c r="A6" s="78" t="n">
        <v>45930</v>
      </c>
      <c r="B6" s="79" t="n">
        <f aca="false">[2]Monthly!$F$39</f>
        <v>1.08146697312448</v>
      </c>
      <c r="C6" s="80" t="n">
        <f aca="false">B6/B5-1</f>
        <v>0.0295763262799684</v>
      </c>
      <c r="D6" s="80" t="n">
        <f aca="false">((1+C6)*(1+D5))-1</f>
        <v>0.0814669731244788</v>
      </c>
      <c r="E6" s="80" t="n">
        <f aca="false">D6</f>
        <v>0.0814669731244788</v>
      </c>
      <c r="F6" s="80" t="n">
        <f aca="false">E6</f>
        <v>0.0814669731244788</v>
      </c>
      <c r="G6" s="80" t="n">
        <f aca="false">F6</f>
        <v>0.0814669731244788</v>
      </c>
      <c r="H6" s="81" t="n">
        <f aca="false">((1+D6)^(365/(_xlfn.DAYS(A6,"1/07/2025"))))-1</f>
        <v>0.369073664356184</v>
      </c>
      <c r="I6" s="80"/>
      <c r="J6" s="82" t="str">
        <f aca="false">IFERROR(SUMIF(C$4:C6,"&gt;0",C$4:C6)/ABS(SUMIF(C$4:C6,"&lt;0",C$4:C6)),"")</f>
        <v/>
      </c>
      <c r="K6" s="83"/>
      <c r="L6" s="82"/>
      <c r="M6" s="80" t="n">
        <f aca="false">MAX($C$4:C6)</f>
        <v>0.0295763262799684</v>
      </c>
      <c r="N6" s="80" t="n">
        <f aca="false">MIN($C$4:C6)</f>
        <v>0.023183323592441</v>
      </c>
      <c r="O6" s="81" t="n">
        <f aca="false">AVERAGEIF($S$4:S6,"&gt;0",$C$4:C6)/(AVERAGEIF($S$4:S6,"&gt;0",$S$4:S6))</f>
        <v>1.70155422200305</v>
      </c>
      <c r="P6" s="83" t="str">
        <f aca="false">IFERROR(AVERAGEIF($S$4:S6,"&lt;0",$C$4:C6)/(AVERAGEIF($S$4:S6,"&lt;0",$S$4:S6)),"-")</f>
        <v>-</v>
      </c>
      <c r="Q6" s="84" t="n">
        <f aca="false">IFERROR(COVAR($C$4:C6,$S$4:S6)/VAR($S$4:S6),"")</f>
        <v>0.000281950601946465</v>
      </c>
      <c r="R6" s="81"/>
      <c r="S6" s="80" t="n">
        <f aca="false">[2]Monthly!$F$43</f>
        <v>0.00696108122768169</v>
      </c>
      <c r="T6" s="80" t="n">
        <f aca="false">((1+S6)*(1+T5))-1</f>
        <v>0.0471713634333797</v>
      </c>
      <c r="U6" s="81"/>
      <c r="V6" s="120" t="n">
        <f aca="false">((1+T6)^(365/(_xlfn.DAYS(A6,"30/06/2025"))))-1</f>
        <v>0.200655116647626</v>
      </c>
      <c r="W6" s="80" t="n">
        <f aca="false">IFERROR(STDEV(S5:S6),"")</f>
        <v>0.000748287295230719</v>
      </c>
      <c r="X6" s="82" t="str">
        <f aca="false">IFERROR(SUMIF(S$4:S6,"&gt;0",S$4:S6)/ABS(SUMIF(S$4:S6,"&lt;0",S$4:S6)),"")</f>
        <v/>
      </c>
      <c r="Y6" s="82"/>
      <c r="Z6" s="82"/>
      <c r="AA6" s="81"/>
      <c r="AB6" s="81"/>
      <c r="AC6" s="81"/>
      <c r="AD6" s="80" t="n">
        <v>0</v>
      </c>
      <c r="AE6" s="80"/>
      <c r="AF6" s="81"/>
      <c r="AG6" s="81"/>
      <c r="AH6" s="80"/>
      <c r="AI6" s="80"/>
      <c r="AJ6" s="80"/>
      <c r="AK6" s="80"/>
      <c r="AL6" s="80"/>
      <c r="AM6" s="80"/>
      <c r="AN6" s="80"/>
      <c r="AO6" s="81"/>
      <c r="AP6" s="81"/>
      <c r="AQ6" s="81"/>
      <c r="AR6" s="80"/>
      <c r="AS6" s="80"/>
      <c r="AT6" s="80"/>
      <c r="AU6" s="80"/>
      <c r="AV6" s="80"/>
      <c r="AW6" s="80"/>
      <c r="AX6" s="80"/>
      <c r="AY6" s="81"/>
      <c r="AZ6" s="85"/>
      <c r="BA6" s="86"/>
      <c r="BB6" s="87"/>
      <c r="BC6" s="81"/>
      <c r="BD6" s="81"/>
      <c r="BE6" s="86"/>
      <c r="BF6" s="86"/>
      <c r="BG6" s="86"/>
      <c r="BH6" s="86"/>
      <c r="BI6" s="88"/>
      <c r="BJ6" s="89"/>
      <c r="BK6" s="88"/>
      <c r="BL6" s="88"/>
      <c r="BM6" s="90"/>
      <c r="BN6" s="90"/>
      <c r="BO6" s="90"/>
      <c r="BQ6" s="121" t="s">
        <v>105</v>
      </c>
      <c r="BR6" s="92" t="n">
        <f aca="false">BS6/$BS$14</f>
        <v>0.0376420435342374</v>
      </c>
      <c r="BS6" s="123" t="n">
        <v>573394.49541</v>
      </c>
      <c r="BU6" s="94"/>
      <c r="BV6" s="94"/>
      <c r="BW6" s="94"/>
      <c r="BX6" s="94"/>
      <c r="BY6" s="94"/>
      <c r="BZ6" s="94"/>
      <c r="CA6" s="95" t="str">
        <f aca="false">'[1]New Stock and Weightings'!I235</f>
        <v>AAPL</v>
      </c>
      <c r="CB6" s="96" t="str">
        <f aca="false">CA6&amp;"-NYS"</f>
        <v>AAPL-NYS</v>
      </c>
      <c r="CC6" s="97" t="n">
        <f aca="false">'[1]New Stock and Weightings'!J235</f>
        <v>3.7395</v>
      </c>
      <c r="CD6" s="98" t="e">
        <f aca="false">_xll.fdsb(CB6,"FREF_MARKET_VALUE_COMPANY(NOW,,,AUD,,0,,""LEGACY"")")</f>
        <v>#NAME?</v>
      </c>
      <c r="CE6" s="99" t="e">
        <f aca="false">_xll.fdsb(CB6,"P_VOLUME_AVG(-1AY,NOW)")</f>
        <v>#NAME?</v>
      </c>
      <c r="CF6" s="98" t="e">
        <f aca="false">_xll.fdsb(CB6,"FG_PRICE(NOW,NOW,,AUD)")</f>
        <v>#NAME?</v>
      </c>
      <c r="CG6" s="98" t="str">
        <f aca="false">IFERROR(CF6*CE6,"")</f>
        <v/>
      </c>
      <c r="CI6" s="101" t="s">
        <v>106</v>
      </c>
      <c r="CJ6" s="102" t="n">
        <f aca="false">CC6/100</f>
        <v>0.037395</v>
      </c>
      <c r="CK6" s="103" t="n">
        <v>2804421.70724648</v>
      </c>
      <c r="CL6" s="104" t="n">
        <v>156.6886</v>
      </c>
      <c r="CM6" s="105" t="n">
        <v>166.69902</v>
      </c>
      <c r="CN6" s="106" t="n">
        <v>26119.836065172</v>
      </c>
      <c r="CO6" s="107" t="n">
        <f aca="false">CN6*CJ6</f>
        <v>976.751269657107</v>
      </c>
      <c r="CP6" s="108" t="n">
        <f aca="false">CJ6</f>
        <v>0.037395</v>
      </c>
      <c r="CQ6" s="109" t="n">
        <f aca="false">CJ6*$CB$35</f>
        <v>11.2185</v>
      </c>
      <c r="CR6" s="109" t="n">
        <f aca="false">CQ6/CN6</f>
        <v>0.000429501164249598</v>
      </c>
      <c r="CS6" s="110" t="e">
        <f aca="false">CS5+1</f>
        <v>#REF!</v>
      </c>
      <c r="CT6" s="124" t="s">
        <v>107</v>
      </c>
      <c r="CU6" s="100"/>
      <c r="CV6" s="100"/>
      <c r="CW6" s="100" t="s">
        <v>108</v>
      </c>
      <c r="CX6" s="100" t="s">
        <v>109</v>
      </c>
      <c r="CY6" s="112" t="s">
        <v>110</v>
      </c>
      <c r="CZ6" s="112" t="s">
        <v>111</v>
      </c>
      <c r="DA6" s="112" t="s">
        <v>112</v>
      </c>
      <c r="DB6" s="112" t="s">
        <v>113</v>
      </c>
      <c r="DC6" s="113" t="s">
        <v>114</v>
      </c>
      <c r="DD6" s="114" t="s">
        <v>115</v>
      </c>
      <c r="DE6" s="114" t="s">
        <v>116</v>
      </c>
      <c r="DF6" s="114" t="s">
        <v>117</v>
      </c>
      <c r="DG6" s="115" t="s">
        <v>118</v>
      </c>
      <c r="DH6" s="116" t="s">
        <v>119</v>
      </c>
      <c r="DI6" s="116" t="s">
        <v>120</v>
      </c>
      <c r="DJ6" s="116" t="s">
        <v>121</v>
      </c>
      <c r="DK6" s="117" t="s">
        <v>122</v>
      </c>
      <c r="DL6" s="118" t="s">
        <v>123</v>
      </c>
      <c r="DM6" s="94" t="s">
        <v>124</v>
      </c>
      <c r="DN6" s="119" t="s">
        <v>125</v>
      </c>
      <c r="DO6" s="94" t="s">
        <v>126</v>
      </c>
      <c r="DP6" s="94" t="s">
        <v>127</v>
      </c>
      <c r="DQ6" s="118" t="s">
        <v>128</v>
      </c>
      <c r="DR6" s="119" t="s">
        <v>129</v>
      </c>
      <c r="DS6" s="118" t="s">
        <v>130</v>
      </c>
      <c r="DT6" s="118" t="s">
        <v>131</v>
      </c>
      <c r="DU6" s="112" t="s">
        <v>132</v>
      </c>
      <c r="DV6" s="112"/>
      <c r="DW6" s="112"/>
      <c r="DX6" s="112"/>
      <c r="DY6" s="112"/>
      <c r="DZ6" s="112"/>
      <c r="EA6" s="112"/>
      <c r="EB6" s="112"/>
      <c r="EC6" s="112"/>
      <c r="ED6" s="112"/>
    </row>
    <row r="7" customFormat="false" ht="15" hidden="false" customHeight="false" outlineLevel="0" collapsed="false">
      <c r="A7" s="78"/>
      <c r="B7" s="125"/>
      <c r="C7" s="126"/>
      <c r="D7" s="126"/>
      <c r="E7" s="126"/>
      <c r="F7" s="126"/>
      <c r="G7" s="126"/>
      <c r="H7" s="126"/>
      <c r="I7" s="126"/>
      <c r="J7" s="126"/>
      <c r="K7" s="126"/>
      <c r="L7" s="126"/>
      <c r="M7" s="80"/>
      <c r="N7" s="81"/>
      <c r="O7" s="81"/>
      <c r="P7" s="81"/>
      <c r="Q7" s="84"/>
      <c r="R7" s="126"/>
      <c r="S7" s="80"/>
      <c r="T7" s="80"/>
      <c r="U7" s="80"/>
      <c r="V7" s="80"/>
      <c r="W7" s="80"/>
      <c r="X7" s="126"/>
      <c r="Y7" s="82"/>
      <c r="Z7" s="82"/>
      <c r="AA7" s="81"/>
      <c r="AB7" s="81"/>
      <c r="AC7" s="126"/>
      <c r="AD7" s="80"/>
      <c r="AE7" s="80"/>
      <c r="AF7" s="80"/>
      <c r="AG7" s="126"/>
      <c r="AH7" s="81"/>
      <c r="AI7" s="81"/>
      <c r="AJ7" s="81"/>
      <c r="AK7" s="81"/>
      <c r="AL7" s="81"/>
      <c r="AM7" s="81"/>
      <c r="AN7" s="81"/>
      <c r="AO7" s="126"/>
      <c r="AP7" s="81"/>
      <c r="AQ7" s="80"/>
      <c r="AR7" s="80"/>
      <c r="AS7" s="80"/>
      <c r="AT7" s="80"/>
      <c r="AU7" s="80"/>
      <c r="AV7" s="80"/>
      <c r="AW7" s="80"/>
      <c r="AX7" s="80"/>
      <c r="AY7" s="126"/>
      <c r="AZ7" s="85"/>
      <c r="BA7" s="86"/>
      <c r="BB7" s="87"/>
      <c r="BC7" s="81"/>
      <c r="BD7" s="81"/>
      <c r="BE7" s="86"/>
      <c r="BF7" s="86"/>
      <c r="BG7" s="86"/>
      <c r="BH7" s="86"/>
      <c r="BI7" s="88"/>
      <c r="BJ7" s="89"/>
      <c r="BK7" s="88"/>
      <c r="BL7" s="88"/>
      <c r="BM7" s="90"/>
      <c r="BN7" s="90"/>
      <c r="BO7" s="90"/>
      <c r="BQ7" s="121" t="s">
        <v>133</v>
      </c>
      <c r="BR7" s="92" t="n">
        <f aca="false">BS7/$BS$14</f>
        <v>0.0502205088018873</v>
      </c>
      <c r="BS7" s="123" t="n">
        <v>765000</v>
      </c>
      <c r="BU7" s="94"/>
      <c r="BV7" s="94"/>
      <c r="BW7" s="94"/>
      <c r="BX7" s="94"/>
      <c r="BY7" s="94"/>
      <c r="BZ7" s="94"/>
      <c r="CA7" s="95" t="str">
        <f aca="false">'[1]New Stock and Weightings'!I236</f>
        <v>BABA</v>
      </c>
      <c r="CB7" s="96" t="str">
        <f aca="false">CA7&amp;"-NYS"</f>
        <v>BABA-NYS</v>
      </c>
      <c r="CC7" s="97" t="n">
        <f aca="false">'[1]New Stock and Weightings'!J236</f>
        <v>3.6438</v>
      </c>
      <c r="CD7" s="98" t="e">
        <f aca="false">_xll.fdsb(CB7,"FREF_MARKET_VALUE_COMPANY(NOW,,,AUD,,0,,""LEGACY"")")</f>
        <v>#NAME?</v>
      </c>
      <c r="CE7" s="99" t="e">
        <f aca="false">_xll.fdsb(CB7,"P_VOLUME_AVG(-1AY,NOW)")</f>
        <v>#NAME?</v>
      </c>
      <c r="CF7" s="98" t="e">
        <f aca="false">_xll.fdsb(CB7,"FG_PRICE(NOW,NOW,,AUD)")</f>
        <v>#NAME?</v>
      </c>
      <c r="CG7" s="98" t="str">
        <f aca="false">IFERROR(CF7*CE7,"")</f>
        <v/>
      </c>
      <c r="CI7" s="127" t="s">
        <v>134</v>
      </c>
      <c r="CJ7" s="102" t="n">
        <f aca="false">CC7/100</f>
        <v>0.036438</v>
      </c>
      <c r="CK7" s="103" t="n">
        <v>794690.295120063</v>
      </c>
      <c r="CL7" s="104" t="n">
        <v>18.919956</v>
      </c>
      <c r="CM7" s="105" t="n">
        <v>291.98215</v>
      </c>
      <c r="CN7" s="106" t="n">
        <v>5524.2894307854</v>
      </c>
      <c r="CO7" s="107" t="n">
        <f aca="false">CN7*CJ7</f>
        <v>201.294058278958</v>
      </c>
      <c r="CP7" s="108" t="n">
        <f aca="false">CJ7</f>
        <v>0.036438</v>
      </c>
      <c r="CQ7" s="109" t="n">
        <f aca="false">CJ7*$CB$35</f>
        <v>10.9314</v>
      </c>
      <c r="CR7" s="109" t="n">
        <f aca="false">CQ7/CN7</f>
        <v>0.00197878842826051</v>
      </c>
      <c r="CS7" s="110" t="e">
        <f aca="false">CS6+1</f>
        <v>#REF!</v>
      </c>
      <c r="CT7" s="124" t="n">
        <v>1</v>
      </c>
      <c r="CU7" s="100" t="s">
        <v>135</v>
      </c>
      <c r="CV7" s="100" t="s">
        <v>136</v>
      </c>
      <c r="CW7" s="100" t="s">
        <v>137</v>
      </c>
      <c r="CX7" s="128" t="n">
        <v>0.052453</v>
      </c>
      <c r="CY7" s="112" t="n">
        <v>50783.93</v>
      </c>
      <c r="CZ7" s="112" t="n">
        <v>98184.81168354</v>
      </c>
      <c r="DA7" s="112" t="n">
        <v>98184.81168354</v>
      </c>
      <c r="DB7" s="112" t="n">
        <v>140.44</v>
      </c>
      <c r="DC7" s="113" t="n">
        <v>7.645</v>
      </c>
      <c r="DD7" s="114" t="n">
        <v>6.010488</v>
      </c>
      <c r="DE7" s="114" t="n">
        <v>7.9300556</v>
      </c>
      <c r="DF7" s="114" t="n">
        <v>8.986293</v>
      </c>
      <c r="DG7" s="115" t="n">
        <v>-0.213801438848921</v>
      </c>
      <c r="DH7" s="116" t="s">
        <v>138</v>
      </c>
      <c r="DI7" s="116" t="s">
        <v>138</v>
      </c>
      <c r="DJ7" s="116" t="s">
        <v>138</v>
      </c>
      <c r="DK7" s="117" t="s">
        <v>138</v>
      </c>
      <c r="DL7" s="118" t="s">
        <v>138</v>
      </c>
      <c r="DM7" s="94" t="n">
        <v>23.3658232076996</v>
      </c>
      <c r="DN7" s="119" t="n">
        <v>0.319369675141187</v>
      </c>
      <c r="DO7" s="94" t="n">
        <v>1.04900058912765</v>
      </c>
      <c r="DP7" s="94" t="s">
        <v>138</v>
      </c>
      <c r="DQ7" s="118" t="s">
        <v>138</v>
      </c>
      <c r="DR7" s="119" t="s">
        <v>138</v>
      </c>
      <c r="DS7" s="118" t="n">
        <v>0.135792293426746</v>
      </c>
      <c r="DT7" s="118" t="n">
        <v>0.02647634</v>
      </c>
      <c r="DU7" s="112" t="s">
        <v>139</v>
      </c>
      <c r="DV7" s="112" t="s">
        <v>140</v>
      </c>
      <c r="DW7" s="112"/>
      <c r="DX7" s="112" t="s">
        <v>141</v>
      </c>
      <c r="DY7" s="112"/>
      <c r="DZ7" s="112"/>
      <c r="EA7" s="112"/>
      <c r="EB7" s="112"/>
      <c r="EC7" s="112"/>
      <c r="ED7" s="112"/>
    </row>
    <row r="8" customFormat="false" ht="15" hidden="false" customHeight="false" outlineLevel="0" collapsed="false">
      <c r="C8" s="126"/>
      <c r="D8" s="126"/>
      <c r="E8" s="126"/>
      <c r="F8" s="126"/>
      <c r="G8" s="126"/>
      <c r="H8" s="126"/>
      <c r="I8" s="126"/>
      <c r="J8" s="126"/>
      <c r="K8" s="126"/>
      <c r="L8" s="126"/>
      <c r="P8" s="109"/>
      <c r="R8" s="126"/>
      <c r="S8" s="129"/>
      <c r="T8" s="129"/>
      <c r="U8" s="129"/>
      <c r="V8" s="129"/>
      <c r="W8" s="129"/>
      <c r="X8" s="126"/>
      <c r="AC8" s="126"/>
      <c r="AD8" s="129"/>
      <c r="AE8" s="129"/>
      <c r="AG8" s="126"/>
      <c r="AH8" s="130"/>
      <c r="AI8" s="130"/>
      <c r="AJ8" s="130"/>
      <c r="AK8" s="130"/>
      <c r="AL8" s="130"/>
      <c r="AM8" s="130"/>
      <c r="AN8" s="130"/>
      <c r="AO8" s="126"/>
      <c r="AP8" s="130"/>
      <c r="AY8" s="126"/>
      <c r="BE8" s="61"/>
      <c r="BF8" s="131"/>
      <c r="BG8" s="131"/>
      <c r="BH8" s="131"/>
      <c r="BJ8" s="132"/>
      <c r="BK8" s="89"/>
      <c r="BL8" s="89"/>
      <c r="BM8" s="89"/>
      <c r="BQ8" s="91" t="s">
        <v>142</v>
      </c>
      <c r="BR8" s="92" t="n">
        <v>0.14</v>
      </c>
      <c r="BS8" s="93" t="n">
        <v>1411590.21407</v>
      </c>
      <c r="BU8" s="94"/>
      <c r="BV8" s="94"/>
      <c r="BW8" s="94"/>
      <c r="BX8" s="94"/>
      <c r="BY8" s="94"/>
      <c r="BZ8" s="94"/>
      <c r="CA8" s="95" t="str">
        <f aca="false">'[1]New Stock and Weightings'!I237</f>
        <v>CAT</v>
      </c>
      <c r="CB8" s="96" t="str">
        <f aca="false">CA8&amp;"-NYS"</f>
        <v>CAT-NYS</v>
      </c>
      <c r="CC8" s="97" t="n">
        <f aca="false">'[1]New Stock and Weightings'!J237</f>
        <v>4.5597</v>
      </c>
      <c r="CD8" s="98" t="e">
        <f aca="false">_xll.fdsb(CB8,"FREF_MARKET_VALUE_COMPANY(NOW,,,AUD,,0,,""LEGACY"")")</f>
        <v>#NAME?</v>
      </c>
      <c r="CE8" s="99" t="e">
        <f aca="false">_xll.fdsb(CB8,"P_VOLUME_AVG(-1AY,NOW)")</f>
        <v>#NAME?</v>
      </c>
      <c r="CF8" s="98" t="e">
        <f aca="false">_xll.fdsb(CB8,"FG_PRICE(NOW,NOW,,AUD)")</f>
        <v>#NAME?</v>
      </c>
      <c r="CG8" s="98" t="str">
        <f aca="false">IFERROR(CF8*CE8,"")</f>
        <v/>
      </c>
      <c r="CI8" s="127" t="s">
        <v>143</v>
      </c>
      <c r="CJ8" s="102" t="n">
        <f aca="false">CC8/100</f>
        <v>0.045597</v>
      </c>
      <c r="CK8" s="133" t="n">
        <v>138892.433604953</v>
      </c>
      <c r="CL8" s="104" t="n">
        <v>3.905909</v>
      </c>
      <c r="CM8" s="105" t="n">
        <v>255.66554</v>
      </c>
      <c r="CN8" s="106" t="n">
        <v>998.60633367586</v>
      </c>
      <c r="CO8" s="107" t="n">
        <f aca="false">CN8*CJ8</f>
        <v>45.5334529966182</v>
      </c>
      <c r="CP8" s="108" t="n">
        <f aca="false">CJ8</f>
        <v>0.045597</v>
      </c>
      <c r="CQ8" s="109" t="n">
        <f aca="false">CJ8*$CB$35</f>
        <v>13.6791</v>
      </c>
      <c r="CR8" s="109" t="n">
        <f aca="false">CQ8/CN8</f>
        <v>0.0136981907070901</v>
      </c>
      <c r="CS8" s="110" t="e">
        <f aca="false">CS7+1</f>
        <v>#REF!</v>
      </c>
      <c r="CT8" s="124" t="n">
        <v>2</v>
      </c>
      <c r="CU8" s="100" t="s">
        <v>144</v>
      </c>
      <c r="CV8" s="100" t="s">
        <v>145</v>
      </c>
      <c r="CW8" s="100" t="s">
        <v>146</v>
      </c>
      <c r="CX8" s="128" t="n">
        <v>0.051018</v>
      </c>
      <c r="CY8" s="112" t="n">
        <v>37962.035</v>
      </c>
      <c r="CZ8" s="112" t="n">
        <v>35153.91659</v>
      </c>
      <c r="DA8" s="112" t="n">
        <v>35153.91659</v>
      </c>
      <c r="DB8" s="112" t="n">
        <v>47.73</v>
      </c>
      <c r="DC8" s="113" t="n">
        <v>2.37</v>
      </c>
      <c r="DD8" s="114" t="n">
        <v>-0.40596995</v>
      </c>
      <c r="DE8" s="114" t="n">
        <v>0.8453039</v>
      </c>
      <c r="DF8" s="114" t="n">
        <v>1.137067</v>
      </c>
      <c r="DG8" s="115" t="n">
        <v>-1.17129533755274</v>
      </c>
      <c r="DH8" s="116" t="n">
        <v>1209.73</v>
      </c>
      <c r="DI8" s="116" t="n">
        <v>1029.4496</v>
      </c>
      <c r="DJ8" s="116" t="n">
        <v>1348.0758</v>
      </c>
      <c r="DK8" s="117" t="n">
        <v>-0.149025319699437</v>
      </c>
      <c r="DL8" s="118" t="n">
        <v>0.00339012367782375</v>
      </c>
      <c r="DM8" s="94" t="s">
        <v>138</v>
      </c>
      <c r="DN8" s="119" t="s">
        <v>138</v>
      </c>
      <c r="DO8" s="94" t="s">
        <v>138</v>
      </c>
      <c r="DP8" s="94" t="n">
        <v>33.160545</v>
      </c>
      <c r="DQ8" s="118" t="n">
        <v>0.286415452668468</v>
      </c>
      <c r="DR8" s="119" t="n">
        <v>0.309511218421961</v>
      </c>
      <c r="DS8" s="118" t="n">
        <v>0.188995601541717</v>
      </c>
      <c r="DT8" s="118" t="n">
        <v>-0.051875234</v>
      </c>
      <c r="DU8" s="112" t="s">
        <v>147</v>
      </c>
      <c r="DV8" s="112" t="s">
        <v>147</v>
      </c>
      <c r="DW8" s="112" t="s">
        <v>148</v>
      </c>
      <c r="DX8" s="112" t="s">
        <v>149</v>
      </c>
      <c r="DY8" s="112"/>
      <c r="DZ8" s="112"/>
      <c r="EA8" s="112"/>
      <c r="EB8" s="112"/>
      <c r="EC8" s="112"/>
      <c r="ED8" s="112"/>
    </row>
    <row r="9" customFormat="false" ht="15" hidden="false" customHeight="false" outlineLevel="0" collapsed="false">
      <c r="C9" s="126"/>
      <c r="D9" s="126"/>
      <c r="E9" s="126"/>
      <c r="F9" s="126"/>
      <c r="G9" s="126"/>
      <c r="H9" s="126"/>
      <c r="I9" s="126"/>
      <c r="J9" s="126"/>
      <c r="K9" s="126"/>
      <c r="L9" s="126"/>
      <c r="R9" s="126"/>
      <c r="S9" s="129"/>
      <c r="T9" s="129"/>
      <c r="U9" s="129"/>
      <c r="V9" s="129"/>
      <c r="W9" s="129"/>
      <c r="X9" s="126"/>
      <c r="AC9" s="126"/>
      <c r="AD9" s="129"/>
      <c r="AE9" s="129"/>
      <c r="AG9" s="126"/>
      <c r="AH9" s="130"/>
      <c r="AI9" s="130"/>
      <c r="AJ9" s="130"/>
      <c r="AK9" s="130"/>
      <c r="AL9" s="130"/>
      <c r="AM9" s="130"/>
      <c r="AN9" s="130"/>
      <c r="AO9" s="126"/>
      <c r="AP9" s="130"/>
      <c r="AY9" s="126"/>
      <c r="BE9" s="61"/>
      <c r="BF9" s="131"/>
      <c r="BG9" s="131"/>
      <c r="BH9" s="131"/>
      <c r="BJ9" s="132"/>
      <c r="BK9" s="89"/>
      <c r="BL9" s="89"/>
      <c r="BM9" s="89"/>
      <c r="BQ9" s="91" t="s">
        <v>150</v>
      </c>
      <c r="BR9" s="92" t="n">
        <v>0.25</v>
      </c>
      <c r="BS9" s="93" t="n">
        <v>3030428.13455</v>
      </c>
      <c r="BU9" s="94"/>
      <c r="BV9" s="94"/>
      <c r="BW9" s="94"/>
      <c r="BX9" s="94"/>
      <c r="BY9" s="94"/>
      <c r="BZ9" s="94"/>
      <c r="CA9" s="95" t="str">
        <f aca="false">'[1]New Stock and Weightings'!I238</f>
        <v>SLB</v>
      </c>
      <c r="CB9" s="96" t="str">
        <f aca="false">CA9&amp;"-NYS"</f>
        <v>SLB-NYS</v>
      </c>
      <c r="CC9" s="97" t="n">
        <f aca="false">'[1]New Stock and Weightings'!J238</f>
        <v>3.828</v>
      </c>
      <c r="CD9" s="98" t="e">
        <f aca="false">_xll.fdsb(CB9,"FREF_MARKET_VALUE_COMPANY(NOW,,,AUD,,0,,""LEGACY"")")</f>
        <v>#NAME?</v>
      </c>
      <c r="CE9" s="99" t="e">
        <f aca="false">_xll.fdsb(CB9,"P_VOLUME_AVG(-1AY,NOW)")</f>
        <v>#NAME?</v>
      </c>
      <c r="CF9" s="98" t="e">
        <f aca="false">_xll.fdsb(CB9,"FG_PRICE(NOW,NOW,,AUD)")</f>
        <v>#NAME?</v>
      </c>
      <c r="CG9" s="98" t="str">
        <f aca="false">IFERROR(CF9*CE9,"")</f>
        <v/>
      </c>
      <c r="CI9" s="127" t="s">
        <v>151</v>
      </c>
      <c r="CJ9" s="102" t="n">
        <f aca="false">CC9/100</f>
        <v>0.03828</v>
      </c>
      <c r="CK9" s="103" t="n">
        <v>47094.6261856249</v>
      </c>
      <c r="CL9" s="104" t="n">
        <v>15.83537</v>
      </c>
      <c r="CM9" s="105" t="n">
        <v>33.831615</v>
      </c>
      <c r="CN9" s="106" t="n">
        <v>535.73614122255</v>
      </c>
      <c r="CO9" s="107" t="n">
        <f aca="false">CN9*CJ9</f>
        <v>20.5079794859992</v>
      </c>
      <c r="CP9" s="108" t="n">
        <f aca="false">CJ9</f>
        <v>0.03828</v>
      </c>
      <c r="CQ9" s="109" t="n">
        <f aca="false">CJ9*$CB$35</f>
        <v>11.484</v>
      </c>
      <c r="CR9" s="109" t="n">
        <f aca="false">CQ9/CN9</f>
        <v>0.0214359254796466</v>
      </c>
      <c r="CS9" s="110" t="e">
        <f aca="false">CS8+1</f>
        <v>#REF!</v>
      </c>
      <c r="CT9" s="124" t="n">
        <v>3</v>
      </c>
      <c r="CU9" s="100" t="s">
        <v>152</v>
      </c>
      <c r="CV9" s="100" t="s">
        <v>153</v>
      </c>
      <c r="CW9" s="100" t="s">
        <v>154</v>
      </c>
      <c r="CX9" s="128" t="n">
        <v>0.048232</v>
      </c>
      <c r="CY9" s="112" t="n">
        <v>551.4767</v>
      </c>
      <c r="CZ9" s="112" t="n">
        <v>778.44823603</v>
      </c>
      <c r="DA9" s="112" t="n">
        <v>778.44823603</v>
      </c>
      <c r="DB9" s="112" t="n">
        <v>6.83</v>
      </c>
      <c r="DC9" s="113" t="n">
        <v>0.26</v>
      </c>
      <c r="DD9" s="114" t="n">
        <v>0.3461615</v>
      </c>
      <c r="DE9" s="114" t="n">
        <v>0.430136</v>
      </c>
      <c r="DF9" s="114" t="n">
        <v>0.402</v>
      </c>
      <c r="DG9" s="115" t="n">
        <v>0.331390384615385</v>
      </c>
      <c r="DH9" s="116" t="n">
        <v>34.72067</v>
      </c>
      <c r="DI9" s="116" t="n">
        <v>42.2</v>
      </c>
      <c r="DJ9" s="116" t="n">
        <v>55.721977</v>
      </c>
      <c r="DK9" s="117" t="n">
        <v>0.215414333882382</v>
      </c>
      <c r="DL9" s="118" t="s">
        <v>138</v>
      </c>
      <c r="DM9" s="94" t="n">
        <v>19.7306748439673</v>
      </c>
      <c r="DN9" s="119" t="n">
        <v>0.242587636117824</v>
      </c>
      <c r="DO9" s="94" t="n">
        <v>2.54130755746061</v>
      </c>
      <c r="DP9" s="94" t="n">
        <v>16.250631</v>
      </c>
      <c r="DQ9" s="118" t="s">
        <v>138</v>
      </c>
      <c r="DR9" s="119" t="n">
        <v>0.320425995260663</v>
      </c>
      <c r="DS9" s="118" t="n">
        <v>0.0553458286713055</v>
      </c>
      <c r="DT9" s="118" t="s">
        <v>138</v>
      </c>
      <c r="DU9" s="112" t="s">
        <v>139</v>
      </c>
      <c r="DV9" s="112" t="s">
        <v>155</v>
      </c>
      <c r="DW9" s="112" t="s">
        <v>156</v>
      </c>
      <c r="DX9" s="112" t="s">
        <v>157</v>
      </c>
      <c r="DY9" s="112"/>
      <c r="DZ9" s="112"/>
      <c r="EA9" s="112"/>
      <c r="EB9" s="112"/>
      <c r="EC9" s="112"/>
      <c r="ED9" s="112"/>
    </row>
    <row r="10" customFormat="false" ht="15" hidden="false" customHeight="false" outlineLevel="0" collapsed="false">
      <c r="C10" s="126"/>
      <c r="D10" s="126"/>
      <c r="E10" s="126"/>
      <c r="F10" s="126"/>
      <c r="G10" s="126"/>
      <c r="H10" s="126"/>
      <c r="I10" s="126"/>
      <c r="J10" s="126"/>
      <c r="K10" s="126"/>
      <c r="L10" s="126"/>
      <c r="R10" s="126"/>
      <c r="S10" s="129"/>
      <c r="T10" s="129"/>
      <c r="U10" s="129"/>
      <c r="V10" s="129"/>
      <c r="W10" s="129"/>
      <c r="X10" s="126"/>
      <c r="AC10" s="126"/>
      <c r="AD10" s="129"/>
      <c r="AE10" s="129"/>
      <c r="AG10" s="126"/>
      <c r="AO10" s="126"/>
      <c r="AY10" s="126"/>
      <c r="BE10" s="61"/>
      <c r="BF10" s="131"/>
      <c r="BG10" s="131"/>
      <c r="BH10" s="131"/>
      <c r="BJ10" s="132"/>
      <c r="BK10" s="89"/>
      <c r="BL10" s="89"/>
      <c r="BM10" s="89"/>
      <c r="BQ10" s="134" t="s">
        <v>158</v>
      </c>
      <c r="BR10" s="92" t="n">
        <v>0.54</v>
      </c>
      <c r="BS10" s="123" t="n">
        <v>10487672.2922324</v>
      </c>
      <c r="BU10" s="94"/>
      <c r="BV10" s="94"/>
      <c r="BW10" s="94"/>
      <c r="BX10" s="94"/>
      <c r="BY10" s="94"/>
      <c r="BZ10" s="94"/>
      <c r="CA10" s="95" t="str">
        <f aca="false">'[1]New Stock and Weightings'!I239</f>
        <v>TWTR</v>
      </c>
      <c r="CB10" s="96" t="str">
        <f aca="false">CA10&amp;"-NYS"</f>
        <v>TWTR-NYS</v>
      </c>
      <c r="CC10" s="97" t="n">
        <f aca="false">'[1]New Stock and Weightings'!J239</f>
        <v>5.5955</v>
      </c>
      <c r="CD10" s="98" t="e">
        <f aca="false">_xll.fdsb(CB10,"FREF_MARKET_VALUE_COMPANY(NOW,,,AUD,,0,,""LEGACY"")")</f>
        <v>#NAME?</v>
      </c>
      <c r="CE10" s="99" t="e">
        <f aca="false">_xll.fdsb(CB10,"P_VOLUME_AVG(-1AY,NOW)")</f>
        <v>#NAME?</v>
      </c>
      <c r="CF10" s="98" t="e">
        <f aca="false">_xll.fdsb(CB10,"FG_PRICE(NOW,NOW,,AUD)")</f>
        <v>#NAME?</v>
      </c>
      <c r="CG10" s="98" t="str">
        <f aca="false">IFERROR(CF10*CE10,"")</f>
        <v/>
      </c>
      <c r="CI10" s="127" t="s">
        <v>159</v>
      </c>
      <c r="CJ10" s="102" t="n">
        <f aca="false">CC10/100</f>
        <v>0.055955</v>
      </c>
      <c r="CK10" s="103" t="n">
        <v>48421.9826848344</v>
      </c>
      <c r="CL10" s="104" t="n">
        <v>19.870663</v>
      </c>
      <c r="CM10" s="105" t="n">
        <v>60.881382</v>
      </c>
      <c r="CN10" s="106" t="n">
        <v>1209.75342469627</v>
      </c>
      <c r="CO10" s="107" t="n">
        <f aca="false">CN10*CJ10</f>
        <v>67.6917528788796</v>
      </c>
      <c r="CP10" s="108" t="n">
        <f aca="false">CJ10</f>
        <v>0.055955</v>
      </c>
      <c r="CQ10" s="109" t="n">
        <f aca="false">CJ10*$CB$35</f>
        <v>16.7865</v>
      </c>
      <c r="CR10" s="109" t="n">
        <f aca="false">CQ10/CN10</f>
        <v>0.0138759681579034</v>
      </c>
      <c r="CS10" s="110" t="e">
        <f aca="false">CS9+1</f>
        <v>#REF!</v>
      </c>
      <c r="CT10" s="124" t="n">
        <v>4</v>
      </c>
      <c r="CU10" s="100" t="s">
        <v>160</v>
      </c>
      <c r="CV10" s="100" t="s">
        <v>161</v>
      </c>
      <c r="CW10" s="100" t="s">
        <v>162</v>
      </c>
      <c r="CX10" s="128" t="n">
        <v>0.0512</v>
      </c>
      <c r="CY10" s="112" t="n">
        <v>717169.75</v>
      </c>
      <c r="CZ10" s="112" t="n">
        <v>723830.951720309</v>
      </c>
      <c r="DA10" s="112" t="n">
        <v>723830.951720309</v>
      </c>
      <c r="DB10" s="112" t="n">
        <v>267.25</v>
      </c>
      <c r="DC10" s="113" t="n">
        <v>7.4189215</v>
      </c>
      <c r="DD10" s="114" t="n">
        <v>10.15762</v>
      </c>
      <c r="DE10" s="114" t="n">
        <v>12.35188</v>
      </c>
      <c r="DF10" s="114" t="n">
        <v>15.349785</v>
      </c>
      <c r="DG10" s="115" t="n">
        <v>0.369150489056934</v>
      </c>
      <c r="DH10" s="116" t="n">
        <v>21985.258</v>
      </c>
      <c r="DI10" s="116" t="n">
        <v>32521.266</v>
      </c>
      <c r="DJ10" s="116" t="n">
        <v>41030.504</v>
      </c>
      <c r="DK10" s="117" t="n">
        <v>0.479230582602215</v>
      </c>
      <c r="DL10" s="118" t="n">
        <v>0.0432903759165413</v>
      </c>
      <c r="DM10" s="94" t="n">
        <v>26.3102970971547</v>
      </c>
      <c r="DN10" s="119" t="n">
        <v>0.21602107580319</v>
      </c>
      <c r="DO10" s="94" t="n">
        <v>1.14745654636247</v>
      </c>
      <c r="DP10" s="94" t="n">
        <v>20.67883</v>
      </c>
      <c r="DQ10" s="118" t="n">
        <v>0.306672642715573</v>
      </c>
      <c r="DR10" s="119" t="n">
        <v>0.261651499052958</v>
      </c>
      <c r="DS10" s="118" t="n">
        <v>0.238367202697006</v>
      </c>
      <c r="DT10" s="118" t="n">
        <v>0.14281477</v>
      </c>
      <c r="DU10" s="112" t="s">
        <v>163</v>
      </c>
      <c r="DV10" s="112" t="s">
        <v>147</v>
      </c>
      <c r="DW10" s="112" t="s">
        <v>164</v>
      </c>
      <c r="DX10" s="112" t="s">
        <v>165</v>
      </c>
      <c r="DY10" s="112"/>
      <c r="DZ10" s="112"/>
      <c r="EA10" s="112"/>
      <c r="EB10" s="112"/>
    </row>
    <row r="11" customFormat="false" ht="15" hidden="false" customHeight="false" outlineLevel="0" collapsed="false">
      <c r="C11" s="126"/>
      <c r="I11" s="126"/>
      <c r="J11" s="126"/>
      <c r="K11" s="126"/>
      <c r="L11" s="126"/>
      <c r="R11" s="126"/>
      <c r="S11" s="129"/>
      <c r="T11" s="129"/>
      <c r="U11" s="129"/>
      <c r="V11" s="129"/>
      <c r="W11" s="129"/>
      <c r="X11" s="126"/>
      <c r="AC11" s="126"/>
      <c r="AD11" s="129"/>
      <c r="AE11" s="129"/>
      <c r="AG11" s="126"/>
      <c r="AO11" s="126"/>
      <c r="AY11" s="126"/>
      <c r="BE11" s="61"/>
      <c r="BF11" s="131"/>
      <c r="BG11" s="131"/>
      <c r="BH11" s="131"/>
      <c r="BJ11" s="132"/>
      <c r="BK11" s="89"/>
      <c r="BL11" s="89"/>
      <c r="BM11" s="89"/>
      <c r="BQ11" s="91"/>
      <c r="BR11" s="92"/>
      <c r="BS11" s="93"/>
      <c r="BU11" s="94"/>
      <c r="BV11" s="94"/>
      <c r="BW11" s="94"/>
      <c r="BX11" s="94"/>
      <c r="BY11" s="94"/>
      <c r="BZ11" s="94"/>
      <c r="CB11" s="96" t="str">
        <f aca="false">CA11&amp;"-NYS"</f>
        <v>-NYS</v>
      </c>
      <c r="CI11" s="127"/>
      <c r="CJ11" s="102"/>
      <c r="CK11" s="103"/>
      <c r="CL11" s="104"/>
      <c r="CM11" s="105"/>
      <c r="CN11" s="106"/>
      <c r="CO11" s="127"/>
      <c r="CP11" s="108" t="n">
        <f aca="false">CJ11</f>
        <v>0</v>
      </c>
      <c r="CQ11" s="109" t="n">
        <f aca="false">CJ11*$CB$35</f>
        <v>0</v>
      </c>
      <c r="CR11" s="109" t="e">
        <f aca="false">CQ11/CN11</f>
        <v>#DIV/0!</v>
      </c>
      <c r="CS11" s="110" t="e">
        <f aca="false">CS10+1</f>
        <v>#REF!</v>
      </c>
      <c r="CT11" s="124" t="n">
        <v>5</v>
      </c>
      <c r="CU11" s="100" t="s">
        <v>166</v>
      </c>
      <c r="CV11" s="100" t="s">
        <v>167</v>
      </c>
      <c r="CW11" s="100" t="s">
        <v>168</v>
      </c>
      <c r="CX11" s="128" t="n">
        <v>0.046931</v>
      </c>
      <c r="CY11" s="112" t="n">
        <v>1243.7738</v>
      </c>
      <c r="CZ11" s="112" t="n">
        <v>1305.9978</v>
      </c>
      <c r="DA11" s="112" t="n">
        <v>1305.9978</v>
      </c>
      <c r="DB11" s="112" t="n">
        <v>2.895</v>
      </c>
      <c r="DC11" s="113" t="n">
        <v>0.21841</v>
      </c>
      <c r="DD11" s="114" t="n">
        <v>0.23694435</v>
      </c>
      <c r="DE11" s="114" t="n">
        <v>0.253224</v>
      </c>
      <c r="DF11" s="114" t="n">
        <v>0.23204423</v>
      </c>
      <c r="DG11" s="115" t="n">
        <v>0.0848603543793783</v>
      </c>
      <c r="DH11" s="116" t="n">
        <v>237.68733</v>
      </c>
      <c r="DI11" s="116" t="n">
        <v>289.79962</v>
      </c>
      <c r="DJ11" s="116" t="n">
        <v>301.67307</v>
      </c>
      <c r="DK11" s="117" t="n">
        <v>0.219247235433205</v>
      </c>
      <c r="DL11" s="118" t="n">
        <v>0.121158963667473</v>
      </c>
      <c r="DM11" s="94" t="n">
        <v>12.2180587973505</v>
      </c>
      <c r="DN11" s="119" t="n">
        <v>0.0687066393437953</v>
      </c>
      <c r="DO11" s="94" t="n">
        <v>-11.7546277115886</v>
      </c>
      <c r="DP11" s="94" t="n">
        <v>4.3559546</v>
      </c>
      <c r="DQ11" s="118" t="n">
        <v>0.12449239426939</v>
      </c>
      <c r="DR11" s="119" t="n">
        <v>0.0409712407490389</v>
      </c>
      <c r="DS11" s="118" t="n">
        <v>0.19310140776108</v>
      </c>
      <c r="DT11" s="118" t="n">
        <v>0.135308895</v>
      </c>
      <c r="DU11" s="112" t="s">
        <v>169</v>
      </c>
      <c r="DV11" s="112" t="s">
        <v>139</v>
      </c>
      <c r="DW11" s="112" t="s">
        <v>170</v>
      </c>
      <c r="DX11" s="112" t="s">
        <v>171</v>
      </c>
      <c r="DY11" s="112"/>
      <c r="DZ11" s="112"/>
      <c r="EA11" s="112"/>
      <c r="EB11" s="112"/>
    </row>
    <row r="12" customFormat="false" ht="15" hidden="false" customHeight="false" outlineLevel="0" collapsed="false">
      <c r="C12" s="126"/>
      <c r="I12" s="126"/>
      <c r="J12" s="126"/>
      <c r="K12" s="126"/>
      <c r="L12" s="126"/>
      <c r="R12" s="126"/>
      <c r="S12" s="129"/>
      <c r="T12" s="129"/>
      <c r="U12" s="129"/>
      <c r="V12" s="129"/>
      <c r="W12" s="129"/>
      <c r="X12" s="126"/>
      <c r="AC12" s="126"/>
      <c r="AD12" s="129"/>
      <c r="AE12" s="129"/>
      <c r="AG12" s="126"/>
      <c r="AO12" s="126"/>
      <c r="AY12" s="126"/>
      <c r="BE12" s="61"/>
      <c r="BF12" s="131"/>
      <c r="BG12" s="131"/>
      <c r="BH12" s="131"/>
      <c r="BJ12" s="132"/>
      <c r="BK12" s="89"/>
      <c r="BL12" s="89"/>
      <c r="BM12" s="89"/>
      <c r="CB12" s="96" t="str">
        <f aca="false">CA12&amp;"-NYS"</f>
        <v>-NYS</v>
      </c>
      <c r="CI12" s="127"/>
      <c r="CJ12" s="102"/>
      <c r="CK12" s="101"/>
      <c r="CL12" s="127"/>
      <c r="CM12" s="127"/>
      <c r="CN12" s="127"/>
      <c r="CO12" s="127"/>
      <c r="CP12" s="108" t="n">
        <f aca="false">CJ12</f>
        <v>0</v>
      </c>
      <c r="CQ12" s="109" t="n">
        <f aca="false">CJ12*$CB$35</f>
        <v>0</v>
      </c>
      <c r="CR12" s="109" t="e">
        <f aca="false">CQ12/CN12</f>
        <v>#DIV/0!</v>
      </c>
      <c r="CS12" s="110" t="e">
        <f aca="false">CS11+1</f>
        <v>#REF!</v>
      </c>
      <c r="CT12" s="124" t="n">
        <v>6</v>
      </c>
      <c r="CU12" s="100" t="s">
        <v>172</v>
      </c>
      <c r="CV12" s="100" t="s">
        <v>173</v>
      </c>
      <c r="CW12" s="100" t="s">
        <v>174</v>
      </c>
      <c r="CX12" s="128" t="n">
        <v>0.046611</v>
      </c>
      <c r="CY12" s="112" t="n">
        <v>580.8028</v>
      </c>
      <c r="CZ12" s="112" t="n">
        <v>583.15221072</v>
      </c>
      <c r="DA12" s="112" t="n">
        <v>583.15221072</v>
      </c>
      <c r="DB12" s="112" t="n">
        <v>1.465</v>
      </c>
      <c r="DC12" s="113" t="n">
        <v>0.0546</v>
      </c>
      <c r="DD12" s="114" t="n">
        <v>0.048333332</v>
      </c>
      <c r="DE12" s="114" t="n">
        <v>0.0665</v>
      </c>
      <c r="DF12" s="114" t="n">
        <v>0.0788</v>
      </c>
      <c r="DG12" s="115" t="n">
        <v>-0.114774139194139</v>
      </c>
      <c r="DH12" s="116" t="n">
        <v>53.540287</v>
      </c>
      <c r="DI12" s="116" t="n">
        <v>57.8187</v>
      </c>
      <c r="DJ12" s="116" t="n">
        <v>69.24495</v>
      </c>
      <c r="DK12" s="117" t="n">
        <v>0.0799101618562486</v>
      </c>
      <c r="DL12" s="118" t="n">
        <v>0.0250363451112941</v>
      </c>
      <c r="DM12" s="94" t="n">
        <v>30.3103456637337</v>
      </c>
      <c r="DN12" s="119" t="n">
        <v>0.375862106920334</v>
      </c>
      <c r="DO12" s="94" t="n">
        <v>1.09483079924387</v>
      </c>
      <c r="DP12" s="94" t="n">
        <v>9.558548</v>
      </c>
      <c r="DQ12" s="118" t="n">
        <v>0.235767298723721</v>
      </c>
      <c r="DR12" s="119" t="n">
        <v>0.197622049613706</v>
      </c>
      <c r="DS12" s="118" t="n">
        <v>0.0985318491816938</v>
      </c>
      <c r="DT12" s="118" t="n">
        <v>0.07003083</v>
      </c>
      <c r="DU12" s="112" t="s">
        <v>175</v>
      </c>
      <c r="DV12" s="112" t="s">
        <v>176</v>
      </c>
      <c r="DW12" s="112" t="s">
        <v>177</v>
      </c>
      <c r="DX12" s="112" t="s">
        <v>178</v>
      </c>
      <c r="DY12" s="112"/>
      <c r="DZ12" s="112"/>
      <c r="EA12" s="112"/>
      <c r="EB12" s="112"/>
    </row>
    <row r="13" customFormat="false" ht="15" hidden="false" customHeight="false" outlineLevel="0" collapsed="false">
      <c r="C13" s="126"/>
      <c r="I13" s="126"/>
      <c r="J13" s="126"/>
      <c r="K13" s="126"/>
      <c r="L13" s="126"/>
      <c r="R13" s="126"/>
      <c r="S13" s="129"/>
      <c r="T13" s="129"/>
      <c r="U13" s="129"/>
      <c r="V13" s="129"/>
      <c r="W13" s="129"/>
      <c r="X13" s="126"/>
      <c r="AC13" s="126"/>
      <c r="AD13" s="129"/>
      <c r="AE13" s="129"/>
      <c r="AF13" s="132"/>
      <c r="AG13" s="126"/>
      <c r="AO13" s="126"/>
      <c r="AY13" s="126"/>
      <c r="BE13" s="61"/>
      <c r="BF13" s="131"/>
      <c r="BG13" s="131"/>
      <c r="BH13" s="131"/>
      <c r="BJ13" s="132"/>
      <c r="BK13" s="89"/>
      <c r="BL13" s="89"/>
      <c r="BM13" s="89"/>
      <c r="BU13" s="94"/>
      <c r="BV13" s="94"/>
      <c r="BW13" s="94"/>
      <c r="BX13" s="94"/>
      <c r="BY13" s="94"/>
      <c r="BZ13" s="94"/>
      <c r="CA13" s="95"/>
      <c r="CB13" s="135"/>
      <c r="CC13" s="135"/>
      <c r="CD13" s="136"/>
      <c r="CE13" s="136"/>
      <c r="CF13" s="136"/>
      <c r="CG13" s="136"/>
      <c r="CH13" s="137"/>
      <c r="CI13" s="138"/>
      <c r="CJ13" s="138"/>
      <c r="CK13" s="138"/>
      <c r="CL13" s="138"/>
      <c r="CM13" s="138"/>
      <c r="CN13" s="138"/>
      <c r="CO13" s="138"/>
      <c r="CP13" s="108"/>
      <c r="CQ13" s="109"/>
      <c r="CR13" s="109"/>
      <c r="CS13" s="110"/>
      <c r="CT13" s="124" t="n">
        <v>7</v>
      </c>
      <c r="CU13" s="100" t="s">
        <v>179</v>
      </c>
      <c r="CV13" s="100" t="s">
        <v>180</v>
      </c>
      <c r="CW13" s="100" t="s">
        <v>181</v>
      </c>
      <c r="CX13" s="128" t="n">
        <v>0.045665</v>
      </c>
      <c r="CY13" s="112" t="n">
        <v>287.12796</v>
      </c>
      <c r="CZ13" s="112" t="n">
        <v>115.89632184</v>
      </c>
      <c r="DA13" s="112" t="n">
        <v>115.89632184</v>
      </c>
      <c r="DB13" s="112" t="n">
        <v>0.14</v>
      </c>
      <c r="DC13" s="113" t="n">
        <v>-0.050223</v>
      </c>
      <c r="DD13" s="114" t="n">
        <v>-0.0025</v>
      </c>
      <c r="DE13" s="114" t="n">
        <v>-0.00675</v>
      </c>
      <c r="DF13" s="114" t="n">
        <v>0.01</v>
      </c>
      <c r="DG13" s="115" t="n">
        <v>0</v>
      </c>
      <c r="DH13" s="116" t="n">
        <v>-30.007</v>
      </c>
      <c r="DI13" s="116" t="n">
        <v>-5.5876293</v>
      </c>
      <c r="DJ13" s="116" t="n">
        <v>-0.69484264</v>
      </c>
      <c r="DK13" s="117" t="n">
        <v>0</v>
      </c>
      <c r="DL13" s="118" t="n">
        <v>-0.189824833529851</v>
      </c>
      <c r="DM13" s="94" t="s">
        <v>138</v>
      </c>
      <c r="DN13" s="119" t="s">
        <v>138</v>
      </c>
      <c r="DO13" s="94" t="s">
        <v>138</v>
      </c>
      <c r="DP13" s="94" t="s">
        <v>138</v>
      </c>
      <c r="DQ13" s="118" t="n">
        <v>-5.73090184615385</v>
      </c>
      <c r="DR13" s="119" t="n">
        <v>0</v>
      </c>
      <c r="DS13" s="118" t="n">
        <v>-0.631793610905212</v>
      </c>
      <c r="DT13" s="118" t="n">
        <v>-0.0296076</v>
      </c>
      <c r="DU13" s="112" t="s">
        <v>182</v>
      </c>
      <c r="DV13" s="112" t="s">
        <v>175</v>
      </c>
      <c r="DW13" s="112" t="s">
        <v>183</v>
      </c>
      <c r="DX13" s="112" t="s">
        <v>184</v>
      </c>
      <c r="DY13" s="112"/>
      <c r="DZ13" s="112"/>
      <c r="EA13" s="112"/>
      <c r="EB13" s="112"/>
    </row>
    <row r="14" customFormat="false" ht="17.35" hidden="false" customHeight="false" outlineLevel="0" collapsed="false">
      <c r="D14" s="47"/>
      <c r="E14" s="47"/>
      <c r="F14" s="33"/>
      <c r="G14" s="35"/>
      <c r="BQ14" s="59" t="s">
        <v>185</v>
      </c>
      <c r="BS14" s="93" t="n">
        <f aca="false">SUM(BS3:BS11)</f>
        <v>15232820.5796922</v>
      </c>
      <c r="CA14" s="64"/>
      <c r="CB14" s="100"/>
      <c r="CD14" s="59"/>
      <c r="CE14" s="59"/>
      <c r="CF14" s="59"/>
      <c r="CG14" s="59"/>
      <c r="CJ14" s="139"/>
      <c r="CK14" s="100"/>
      <c r="CL14" s="57"/>
      <c r="CM14" s="57"/>
      <c r="CQ14" s="109"/>
      <c r="CS14" s="110"/>
      <c r="CT14" s="124" t="n">
        <v>8</v>
      </c>
      <c r="CU14" s="100" t="s">
        <v>186</v>
      </c>
      <c r="CV14" s="100" t="s">
        <v>187</v>
      </c>
      <c r="CW14" s="100" t="s">
        <v>188</v>
      </c>
      <c r="CX14" s="128" t="n">
        <v>0.04369</v>
      </c>
      <c r="CY14" s="112" t="n">
        <v>16033.356</v>
      </c>
      <c r="CZ14" s="112" t="s">
        <v>138</v>
      </c>
      <c r="DA14" s="112" t="s">
        <v>138</v>
      </c>
      <c r="DB14" s="112" t="n">
        <v>89.21</v>
      </c>
      <c r="DC14" s="113" t="s">
        <v>138</v>
      </c>
      <c r="DD14" s="114" t="s">
        <v>138</v>
      </c>
      <c r="DE14" s="114" t="s">
        <v>138</v>
      </c>
      <c r="DF14" s="114" t="s">
        <v>138</v>
      </c>
      <c r="DG14" s="115" t="s">
        <v>138</v>
      </c>
      <c r="DH14" s="116" t="s">
        <v>138</v>
      </c>
      <c r="DI14" s="116" t="s">
        <v>138</v>
      </c>
      <c r="DJ14" s="116" t="s">
        <v>138</v>
      </c>
      <c r="DK14" s="117" t="s">
        <v>138</v>
      </c>
      <c r="DL14" s="118" t="s">
        <v>138</v>
      </c>
      <c r="DM14" s="94" t="s">
        <v>138</v>
      </c>
      <c r="DN14" s="119" t="s">
        <v>138</v>
      </c>
      <c r="DO14" s="94" t="s">
        <v>138</v>
      </c>
      <c r="DP14" s="94" t="s">
        <v>138</v>
      </c>
      <c r="DQ14" s="118" t="s">
        <v>138</v>
      </c>
      <c r="DR14" s="119" t="s">
        <v>138</v>
      </c>
      <c r="DS14" s="118" t="s">
        <v>138</v>
      </c>
      <c r="DT14" s="118" t="s">
        <v>138</v>
      </c>
      <c r="DU14" s="112" t="s">
        <v>140</v>
      </c>
      <c r="DV14" s="112" t="s">
        <v>189</v>
      </c>
      <c r="DW14" s="112" t="s">
        <v>190</v>
      </c>
      <c r="DX14" s="112" t="s">
        <v>191</v>
      </c>
    </row>
    <row r="15" customFormat="false" ht="17.35" hidden="false" customHeight="false" outlineLevel="0" collapsed="false">
      <c r="D15" s="31"/>
      <c r="E15" s="37"/>
      <c r="F15" s="33"/>
      <c r="G15" s="38"/>
      <c r="BS15" s="93"/>
      <c r="CA15" s="64"/>
      <c r="CB15" s="100"/>
      <c r="CD15" s="59"/>
      <c r="CE15" s="59"/>
      <c r="CF15" s="59"/>
      <c r="CG15" s="59"/>
      <c r="CJ15" s="140"/>
      <c r="CK15" s="100"/>
      <c r="CL15" s="57"/>
      <c r="CM15" s="57"/>
      <c r="CQ15" s="109"/>
      <c r="CS15" s="62"/>
      <c r="CT15" s="124" t="n">
        <v>9</v>
      </c>
      <c r="CU15" s="100" t="s">
        <v>192</v>
      </c>
      <c r="CV15" s="100" t="s">
        <v>193</v>
      </c>
      <c r="CW15" s="100" t="s">
        <v>194</v>
      </c>
      <c r="CX15" s="128" t="n">
        <v>0.040918</v>
      </c>
      <c r="CY15" s="112" t="n">
        <v>1088.0491</v>
      </c>
      <c r="CZ15" s="112" t="n">
        <v>1359.76217</v>
      </c>
      <c r="DA15" s="112" t="n">
        <v>1359.76217</v>
      </c>
      <c r="DB15" s="112" t="n">
        <v>4.15</v>
      </c>
      <c r="DC15" s="113" t="n">
        <v>0.074664</v>
      </c>
      <c r="DD15" s="114" t="n">
        <v>0.6377954</v>
      </c>
      <c r="DE15" s="114" t="n">
        <v>0.5653762</v>
      </c>
      <c r="DF15" s="114" t="n">
        <v>0.5153572</v>
      </c>
      <c r="DG15" s="115" t="n">
        <v>7.54220775741991</v>
      </c>
      <c r="DH15" s="116" t="n">
        <v>59.880665</v>
      </c>
      <c r="DI15" s="116" t="n">
        <v>329.542</v>
      </c>
      <c r="DJ15" s="116" t="n">
        <v>326.061</v>
      </c>
      <c r="DK15" s="117" t="n">
        <v>4.50331229621448</v>
      </c>
      <c r="DL15" s="118" t="s">
        <v>138</v>
      </c>
      <c r="DM15" s="94" t="n">
        <v>6.50678885423131</v>
      </c>
      <c r="DN15" s="119" t="n">
        <v>-0.113546130937915</v>
      </c>
      <c r="DO15" s="94" t="n">
        <v>-0.643626993638661</v>
      </c>
      <c r="DP15" s="94" t="n">
        <v>3.5165935</v>
      </c>
      <c r="DQ15" s="118" t="n">
        <v>0.866276563305048</v>
      </c>
      <c r="DR15" s="119" t="n">
        <v>-0.0105631452136602</v>
      </c>
      <c r="DS15" s="118" t="n">
        <v>-0.0415968400529061</v>
      </c>
      <c r="DT15" s="118" t="s">
        <v>138</v>
      </c>
      <c r="DU15" s="112" t="s">
        <v>195</v>
      </c>
      <c r="DV15" s="112" t="s">
        <v>139</v>
      </c>
      <c r="DW15" s="112" t="s">
        <v>196</v>
      </c>
      <c r="DX15" s="112" t="s">
        <v>197</v>
      </c>
    </row>
    <row r="16" customFormat="false" ht="17.35" hidden="false" customHeight="false" outlineLevel="0" collapsed="false">
      <c r="D16" s="31"/>
      <c r="E16" s="37"/>
      <c r="F16" s="33"/>
      <c r="G16" s="40"/>
      <c r="BS16" s="93"/>
      <c r="CA16" s="64"/>
      <c r="CB16" s="100"/>
      <c r="CD16" s="59"/>
      <c r="CE16" s="59"/>
      <c r="CF16" s="59"/>
      <c r="CG16" s="59"/>
      <c r="CJ16" s="140"/>
      <c r="CK16" s="141"/>
      <c r="CL16" s="57"/>
      <c r="CM16" s="57"/>
      <c r="CQ16" s="109"/>
      <c r="CS16" s="62"/>
      <c r="CT16" s="124" t="n">
        <v>10</v>
      </c>
      <c r="CU16" s="100" t="s">
        <v>198</v>
      </c>
      <c r="CV16" s="100" t="s">
        <v>199</v>
      </c>
      <c r="CW16" s="100" t="s">
        <v>200</v>
      </c>
      <c r="CX16" s="128" t="n">
        <v>0.039981</v>
      </c>
      <c r="CY16" s="112" t="n">
        <v>390.84174</v>
      </c>
      <c r="CZ16" s="112" t="n">
        <v>365.046</v>
      </c>
      <c r="DA16" s="112" t="n">
        <v>365.046</v>
      </c>
      <c r="DB16" s="112" t="n">
        <v>1.95</v>
      </c>
      <c r="DC16" s="113" t="n">
        <v>-0.02793</v>
      </c>
      <c r="DD16" s="114" t="n">
        <v>0.001597521</v>
      </c>
      <c r="DE16" s="114" t="n">
        <v>0.087475486</v>
      </c>
      <c r="DF16" s="114" t="s">
        <v>138</v>
      </c>
      <c r="DG16" s="115" t="n">
        <v>0</v>
      </c>
      <c r="DH16" s="116" t="n">
        <v>13.3</v>
      </c>
      <c r="DI16" s="116" t="n">
        <v>17.821829</v>
      </c>
      <c r="DJ16" s="116" t="n">
        <v>24.802769</v>
      </c>
      <c r="DK16" s="117" t="n">
        <v>0.339987142857143</v>
      </c>
      <c r="DL16" s="118" t="n">
        <v>0.0228034740827183</v>
      </c>
      <c r="DM16" s="94" t="n">
        <v>1220.64123100729</v>
      </c>
      <c r="DN16" s="119" t="n">
        <v>53.757017904616</v>
      </c>
      <c r="DO16" s="94" t="s">
        <v>138</v>
      </c>
      <c r="DP16" s="94" t="n">
        <v>20.560738</v>
      </c>
      <c r="DQ16" s="118" t="n">
        <v>0.169677456455112</v>
      </c>
      <c r="DR16" s="119" t="n">
        <v>0.391707270897953</v>
      </c>
      <c r="DS16" s="118" t="n">
        <v>-0.0642710876420116</v>
      </c>
      <c r="DT16" s="118" t="n">
        <v>-0.013119726</v>
      </c>
      <c r="DU16" s="112" t="s">
        <v>195</v>
      </c>
      <c r="DV16" s="112" t="s">
        <v>139</v>
      </c>
      <c r="DW16" s="112" t="s">
        <v>201</v>
      </c>
      <c r="DX16" s="112" t="s">
        <v>202</v>
      </c>
    </row>
    <row r="17" customFormat="false" ht="17.35" hidden="false" customHeight="false" outlineLevel="0" collapsed="false">
      <c r="D17" s="31"/>
      <c r="E17" s="37"/>
      <c r="F17" s="33"/>
      <c r="G17" s="35"/>
      <c r="CA17" s="64"/>
      <c r="CB17" s="100"/>
      <c r="CD17" s="59"/>
      <c r="CF17" s="63"/>
      <c r="CG17" s="63"/>
      <c r="CH17" s="63"/>
      <c r="CI17" s="63"/>
      <c r="CJ17" s="63"/>
      <c r="CK17" s="63"/>
      <c r="CL17" s="57"/>
      <c r="CM17" s="57"/>
      <c r="CQ17" s="109"/>
      <c r="CS17" s="62"/>
      <c r="CT17" s="124"/>
      <c r="CU17" s="100"/>
      <c r="CV17" s="100"/>
      <c r="CW17" s="100"/>
      <c r="CX17" s="100"/>
      <c r="CY17" s="112"/>
      <c r="CZ17" s="112"/>
      <c r="DA17" s="112"/>
      <c r="DB17" s="112"/>
      <c r="DC17" s="113"/>
      <c r="DD17" s="114"/>
      <c r="DE17" s="114"/>
      <c r="DF17" s="114"/>
      <c r="DG17" s="115"/>
      <c r="DH17" s="116"/>
      <c r="DI17" s="116"/>
      <c r="DJ17" s="116"/>
      <c r="DK17" s="117"/>
      <c r="DL17" s="118"/>
      <c r="DM17" s="94"/>
      <c r="DN17" s="119"/>
      <c r="DO17" s="94"/>
      <c r="DP17" s="94"/>
      <c r="DQ17" s="118"/>
      <c r="DR17" s="119"/>
      <c r="DS17" s="118"/>
      <c r="DT17" s="118"/>
      <c r="DU17" s="112"/>
      <c r="DV17" s="112"/>
      <c r="DW17" s="112"/>
      <c r="DX17" s="112"/>
    </row>
    <row r="18" customFormat="false" ht="17.35" hidden="false" customHeight="false" outlineLevel="0" collapsed="false">
      <c r="D18" s="31"/>
      <c r="E18" s="37"/>
      <c r="F18" s="33"/>
      <c r="G18" s="35"/>
      <c r="CJ18" s="140"/>
      <c r="CK18" s="100"/>
      <c r="CL18" s="57"/>
      <c r="CM18" s="57"/>
      <c r="CQ18" s="109"/>
      <c r="CS18" s="62"/>
      <c r="CT18" s="124"/>
      <c r="CU18" s="100"/>
      <c r="CV18" s="100"/>
      <c r="CW18" s="100"/>
      <c r="CX18" s="100"/>
      <c r="CY18" s="112"/>
      <c r="CZ18" s="112"/>
      <c r="DA18" s="112"/>
      <c r="DB18" s="112"/>
      <c r="DC18" s="113"/>
      <c r="DD18" s="114"/>
      <c r="DE18" s="114"/>
      <c r="DF18" s="114"/>
      <c r="DG18" s="115"/>
      <c r="DH18" s="116"/>
      <c r="DI18" s="116"/>
      <c r="DJ18" s="116"/>
      <c r="DK18" s="117"/>
      <c r="DL18" s="118"/>
      <c r="DM18" s="94"/>
      <c r="DN18" s="119"/>
      <c r="DO18" s="94"/>
      <c r="DP18" s="94"/>
      <c r="DQ18" s="118"/>
      <c r="DR18" s="119"/>
      <c r="DS18" s="118"/>
      <c r="DT18" s="118"/>
      <c r="DU18" s="112"/>
      <c r="DV18" s="112"/>
      <c r="DW18" s="112"/>
      <c r="DX18" s="112"/>
    </row>
    <row r="19" customFormat="false" ht="17.35" hidden="false" customHeight="false" outlineLevel="0" collapsed="false">
      <c r="D19" s="31"/>
      <c r="E19" s="37"/>
      <c r="F19" s="33"/>
      <c r="G19" s="35"/>
      <c r="CA19" s="142" t="s">
        <v>203</v>
      </c>
      <c r="CB19" s="143"/>
      <c r="CC19" s="144" t="n">
        <f aca="false">AVERAGE(CK4:CK12)/1000</f>
        <v>548.053862162481</v>
      </c>
      <c r="CD19" s="145" t="s">
        <v>204</v>
      </c>
      <c r="CE19" s="146" t="s">
        <v>205</v>
      </c>
      <c r="CJ19" s="140"/>
      <c r="CK19" s="100"/>
      <c r="CL19" s="57"/>
      <c r="CM19" s="57"/>
      <c r="CQ19" s="109"/>
      <c r="CS19" s="62"/>
      <c r="CV19" s="100"/>
      <c r="CW19" s="100"/>
      <c r="CX19" s="100"/>
      <c r="CY19" s="112"/>
      <c r="CZ19" s="112"/>
      <c r="DA19" s="112"/>
      <c r="DB19" s="112"/>
      <c r="DC19" s="113"/>
      <c r="DD19" s="114"/>
      <c r="DE19" s="114"/>
      <c r="DF19" s="114"/>
      <c r="DG19" s="115"/>
      <c r="DH19" s="116"/>
      <c r="DI19" s="116"/>
      <c r="DJ19" s="116"/>
      <c r="DK19" s="117"/>
      <c r="DL19" s="118"/>
      <c r="DM19" s="94"/>
      <c r="DN19" s="119"/>
      <c r="DO19" s="94"/>
      <c r="DP19" s="94"/>
      <c r="DQ19" s="118"/>
      <c r="DR19" s="119"/>
      <c r="DS19" s="118"/>
      <c r="DT19" s="118"/>
      <c r="DU19" s="112"/>
      <c r="DV19" s="112"/>
      <c r="DW19" s="112"/>
      <c r="DX19" s="112"/>
    </row>
    <row r="20" customFormat="false" ht="17.35" hidden="false" customHeight="false" outlineLevel="0" collapsed="false">
      <c r="D20" s="31"/>
      <c r="E20" s="33"/>
      <c r="F20" s="33"/>
      <c r="G20" s="45"/>
      <c r="CA20" s="147" t="s">
        <v>206</v>
      </c>
      <c r="CB20" s="148"/>
      <c r="CC20" s="149" t="n">
        <f aca="false">SUMPRODUCT($CK$4:$CK$12,$CJ$4:$CJ$12)/1000</f>
        <v>144.732533597401</v>
      </c>
      <c r="CD20" s="100" t="s">
        <v>204</v>
      </c>
      <c r="CE20" s="146" t="s">
        <v>207</v>
      </c>
      <c r="CJ20" s="140"/>
      <c r="CK20" s="100"/>
      <c r="CL20" s="57"/>
      <c r="CM20" s="57"/>
      <c r="CQ20" s="109"/>
      <c r="CS20" s="62"/>
      <c r="CV20" s="100"/>
      <c r="CW20" s="100"/>
      <c r="CX20" s="100"/>
      <c r="CY20" s="112"/>
      <c r="CZ20" s="112"/>
      <c r="DA20" s="112"/>
      <c r="DB20" s="112"/>
      <c r="DC20" s="113"/>
      <c r="DD20" s="114"/>
      <c r="DE20" s="114"/>
      <c r="DF20" s="114"/>
      <c r="DG20" s="115"/>
      <c r="DH20" s="116"/>
      <c r="DI20" s="116"/>
      <c r="DJ20" s="116"/>
      <c r="DK20" s="117"/>
      <c r="DL20" s="118"/>
      <c r="DM20" s="94"/>
      <c r="DN20" s="119"/>
      <c r="DO20" s="94"/>
      <c r="DP20" s="94"/>
      <c r="DQ20" s="118"/>
      <c r="DR20" s="119"/>
      <c r="DS20" s="118"/>
      <c r="DT20" s="118"/>
      <c r="DU20" s="112"/>
      <c r="DV20" s="112"/>
      <c r="DW20" s="112"/>
      <c r="DX20" s="112"/>
    </row>
    <row r="21" customFormat="false" ht="17.35" hidden="false" customHeight="false" outlineLevel="0" collapsed="false">
      <c r="D21" s="31"/>
      <c r="E21" s="37"/>
      <c r="F21" s="33"/>
      <c r="G21" s="54"/>
      <c r="CA21" s="142" t="s">
        <v>208</v>
      </c>
      <c r="CB21" s="150"/>
      <c r="CC21" s="151" t="n">
        <f aca="false">AVERAGE(CN4:CN12)</f>
        <v>4914.33034224423</v>
      </c>
      <c r="CD21" s="100" t="s">
        <v>209</v>
      </c>
      <c r="CE21" s="100"/>
      <c r="CF21" s="59"/>
      <c r="CG21" s="59"/>
      <c r="CJ21" s="140"/>
      <c r="CK21" s="100"/>
      <c r="CL21" s="57"/>
      <c r="CM21" s="57"/>
      <c r="CQ21" s="109"/>
      <c r="CS21" s="62"/>
      <c r="CV21" s="100"/>
      <c r="CW21" s="100"/>
      <c r="CX21" s="100"/>
      <c r="CY21" s="112"/>
      <c r="CZ21" s="112"/>
      <c r="DA21" s="112"/>
      <c r="DB21" s="112"/>
      <c r="DC21" s="113"/>
      <c r="DD21" s="114"/>
      <c r="DE21" s="114"/>
      <c r="DF21" s="114"/>
      <c r="DG21" s="115"/>
      <c r="DH21" s="116"/>
      <c r="DI21" s="116"/>
      <c r="DJ21" s="116"/>
      <c r="DK21" s="117"/>
      <c r="DL21" s="118"/>
      <c r="DM21" s="94"/>
      <c r="DN21" s="119"/>
      <c r="DO21" s="94"/>
      <c r="DP21" s="94"/>
      <c r="DQ21" s="118"/>
      <c r="DR21" s="119"/>
      <c r="DS21" s="118"/>
      <c r="DT21" s="118"/>
      <c r="DU21" s="112"/>
      <c r="DV21" s="112"/>
      <c r="DW21" s="112"/>
      <c r="DX21" s="112"/>
    </row>
    <row r="22" customFormat="false" ht="17.35" hidden="false" customHeight="false" outlineLevel="0" collapsed="false">
      <c r="D22" s="31"/>
      <c r="E22" s="33"/>
      <c r="F22" s="33"/>
      <c r="G22" s="45"/>
      <c r="CA22" s="147" t="s">
        <v>210</v>
      </c>
      <c r="CB22" s="148"/>
      <c r="CC22" s="152" t="n">
        <f aca="false">SUMPRODUCT($CN$4:$CN$12,$CJ$4:$CJ$12)</f>
        <v>1312.02165120968</v>
      </c>
      <c r="CD22" s="100" t="s">
        <v>209</v>
      </c>
      <c r="CE22" s="100" t="s">
        <v>211</v>
      </c>
      <c r="CF22" s="59"/>
      <c r="CG22" s="59"/>
      <c r="CJ22" s="140"/>
      <c r="CK22" s="100"/>
      <c r="CL22" s="57"/>
      <c r="CM22" s="57"/>
      <c r="CQ22" s="109"/>
      <c r="CS22" s="62"/>
      <c r="CV22" s="100"/>
      <c r="CW22" s="100"/>
      <c r="CX22" s="100"/>
      <c r="CY22" s="112"/>
      <c r="CZ22" s="112"/>
      <c r="DA22" s="112"/>
      <c r="DB22" s="112"/>
      <c r="DC22" s="113"/>
      <c r="DD22" s="114"/>
      <c r="DE22" s="114"/>
      <c r="DF22" s="114"/>
      <c r="DG22" s="115"/>
      <c r="DH22" s="116"/>
      <c r="DI22" s="116"/>
      <c r="DJ22" s="116"/>
      <c r="DK22" s="117"/>
      <c r="DL22" s="118"/>
      <c r="DM22" s="94"/>
      <c r="DN22" s="119"/>
      <c r="DO22" s="94"/>
      <c r="DP22" s="94"/>
      <c r="DQ22" s="118"/>
      <c r="DR22" s="119"/>
      <c r="DS22" s="118"/>
      <c r="DT22" s="118"/>
      <c r="DU22" s="112"/>
      <c r="DV22" s="112"/>
      <c r="DW22" s="112"/>
      <c r="DX22" s="112"/>
    </row>
    <row r="23" customFormat="false" ht="14.25" hidden="false" customHeight="false" outlineLevel="0" collapsed="false">
      <c r="CA23" s="142" t="s">
        <v>212</v>
      </c>
      <c r="CB23" s="150"/>
      <c r="CC23" s="153"/>
      <c r="CD23" s="59"/>
      <c r="CE23" s="59"/>
      <c r="CF23" s="59"/>
      <c r="CG23" s="59"/>
      <c r="CJ23" s="140"/>
      <c r="CK23" s="100"/>
      <c r="CL23" s="57"/>
      <c r="CM23" s="57"/>
      <c r="CQ23" s="109"/>
      <c r="CS23" s="62"/>
      <c r="CV23" s="100"/>
      <c r="CW23" s="100"/>
      <c r="CX23" s="100"/>
      <c r="CY23" s="112"/>
      <c r="CZ23" s="112"/>
      <c r="DA23" s="112"/>
      <c r="DB23" s="112"/>
      <c r="DC23" s="113"/>
      <c r="DD23" s="114"/>
      <c r="DE23" s="114"/>
      <c r="DF23" s="114"/>
      <c r="DG23" s="115"/>
      <c r="DH23" s="116"/>
      <c r="DI23" s="116"/>
      <c r="DJ23" s="116"/>
      <c r="DK23" s="117"/>
      <c r="DL23" s="118"/>
      <c r="DM23" s="94"/>
      <c r="DN23" s="119"/>
      <c r="DO23" s="94"/>
      <c r="DP23" s="94"/>
      <c r="DQ23" s="118"/>
      <c r="DR23" s="119"/>
      <c r="DS23" s="118"/>
      <c r="DT23" s="118"/>
      <c r="DU23" s="112"/>
      <c r="DV23" s="112"/>
      <c r="DW23" s="112"/>
      <c r="DX23" s="112"/>
    </row>
    <row r="24" customFormat="false" ht="14.25" hidden="false" customHeight="false" outlineLevel="0" collapsed="false">
      <c r="CA24" s="64"/>
      <c r="CB24" s="100"/>
      <c r="CD24" s="59"/>
      <c r="CE24" s="59"/>
      <c r="CF24" s="59"/>
      <c r="CG24" s="59"/>
      <c r="CJ24" s="140"/>
      <c r="CK24" s="100"/>
      <c r="CL24" s="57"/>
      <c r="CM24" s="57"/>
      <c r="CQ24" s="109"/>
      <c r="CS24" s="62"/>
      <c r="CV24" s="100"/>
      <c r="CW24" s="100"/>
      <c r="CX24" s="100"/>
      <c r="CY24" s="112"/>
      <c r="CZ24" s="112"/>
      <c r="DA24" s="112"/>
      <c r="DB24" s="112"/>
      <c r="DC24" s="113"/>
      <c r="DD24" s="114"/>
      <c r="DE24" s="114"/>
      <c r="DF24" s="114"/>
      <c r="DG24" s="115"/>
      <c r="DH24" s="116"/>
      <c r="DI24" s="116"/>
      <c r="DJ24" s="116"/>
      <c r="DK24" s="117"/>
      <c r="DL24" s="118"/>
      <c r="DM24" s="94"/>
      <c r="DN24" s="119"/>
      <c r="DO24" s="94"/>
      <c r="DP24" s="94"/>
      <c r="DQ24" s="118"/>
      <c r="DR24" s="119"/>
      <c r="DS24" s="118"/>
      <c r="DT24" s="118"/>
      <c r="DU24" s="112"/>
      <c r="DV24" s="112"/>
      <c r="DW24" s="112"/>
      <c r="DX24" s="112"/>
    </row>
    <row r="25" customFormat="false" ht="14.25" hidden="false" customHeight="false" outlineLevel="0" collapsed="false">
      <c r="CA25" s="154"/>
      <c r="CB25" s="100"/>
      <c r="CD25" s="59"/>
      <c r="CE25" s="100" t="s">
        <v>213</v>
      </c>
      <c r="CF25" s="59"/>
      <c r="CG25" s="59"/>
      <c r="CJ25" s="140"/>
      <c r="CK25" s="100"/>
      <c r="CL25" s="57"/>
      <c r="CM25" s="57"/>
      <c r="CQ25" s="109"/>
      <c r="CS25" s="62"/>
      <c r="CU25" s="100"/>
      <c r="CV25" s="100"/>
      <c r="CW25" s="100"/>
      <c r="CX25" s="100"/>
      <c r="CY25" s="112"/>
      <c r="CZ25" s="112"/>
      <c r="DA25" s="112"/>
      <c r="DB25" s="112"/>
      <c r="DC25" s="113"/>
      <c r="DD25" s="114"/>
      <c r="DE25" s="114"/>
      <c r="DF25" s="114"/>
      <c r="DG25" s="115"/>
      <c r="DH25" s="116"/>
      <c r="DI25" s="116"/>
      <c r="DJ25" s="116"/>
      <c r="DK25" s="117"/>
      <c r="DL25" s="118"/>
      <c r="DM25" s="94"/>
      <c r="DN25" s="119"/>
      <c r="DO25" s="94"/>
      <c r="DP25" s="94"/>
      <c r="DQ25" s="118"/>
      <c r="DR25" s="119"/>
      <c r="DS25" s="118"/>
      <c r="DT25" s="118"/>
      <c r="DU25" s="112"/>
      <c r="DV25" s="112"/>
      <c r="DW25" s="112"/>
      <c r="DX25" s="112"/>
    </row>
    <row r="26" customFormat="false" ht="14.25" hidden="false" customHeight="false" outlineLevel="0" collapsed="false">
      <c r="CA26" s="111" t="s">
        <v>214</v>
      </c>
      <c r="CB26" s="100"/>
      <c r="CD26" s="59"/>
      <c r="CE26" s="100"/>
      <c r="CF26" s="59"/>
      <c r="CG26" s="59"/>
      <c r="CJ26" s="140"/>
      <c r="CK26" s="100"/>
      <c r="CL26" s="57"/>
      <c r="CM26" s="57"/>
      <c r="CQ26" s="109"/>
      <c r="CS26" s="62"/>
      <c r="CU26" s="100"/>
      <c r="CV26" s="100"/>
      <c r="CW26" s="100"/>
      <c r="CX26" s="100"/>
      <c r="CY26" s="112"/>
      <c r="CZ26" s="112"/>
      <c r="DA26" s="112"/>
      <c r="DB26" s="112"/>
      <c r="DC26" s="113"/>
      <c r="DD26" s="114"/>
      <c r="DE26" s="114"/>
      <c r="DF26" s="114"/>
      <c r="DG26" s="115"/>
      <c r="DH26" s="116"/>
      <c r="DI26" s="116"/>
      <c r="DJ26" s="116"/>
      <c r="DK26" s="117"/>
      <c r="DL26" s="118"/>
      <c r="DM26" s="94"/>
      <c r="DN26" s="119"/>
      <c r="DO26" s="94"/>
      <c r="DP26" s="94"/>
      <c r="DQ26" s="118"/>
      <c r="DR26" s="119"/>
      <c r="DS26" s="118"/>
      <c r="DT26" s="118"/>
      <c r="DU26" s="112"/>
      <c r="DV26" s="112"/>
      <c r="DW26" s="112"/>
      <c r="DX26" s="112"/>
    </row>
    <row r="27" customFormat="false" ht="14.25" hidden="false" customHeight="false" outlineLevel="0" collapsed="false">
      <c r="CA27" s="111" t="s">
        <v>215</v>
      </c>
      <c r="CB27" s="155" t="n">
        <v>0.84</v>
      </c>
      <c r="CD27" s="59"/>
      <c r="CE27" s="100"/>
      <c r="CF27" s="59"/>
      <c r="CG27" s="59"/>
      <c r="CJ27" s="140"/>
      <c r="CK27" s="100"/>
      <c r="CL27" s="57"/>
      <c r="CM27" s="57"/>
      <c r="CQ27" s="109"/>
      <c r="CS27" s="62"/>
      <c r="CU27" s="100"/>
      <c r="CV27" s="100"/>
      <c r="CW27" s="100"/>
      <c r="CX27" s="100"/>
      <c r="CY27" s="112"/>
      <c r="CZ27" s="112"/>
      <c r="DA27" s="112"/>
      <c r="DB27" s="112"/>
      <c r="DC27" s="113"/>
      <c r="DD27" s="114"/>
      <c r="DE27" s="114"/>
      <c r="DF27" s="114"/>
      <c r="DG27" s="115"/>
      <c r="DH27" s="116"/>
      <c r="DI27" s="116"/>
      <c r="DJ27" s="116"/>
      <c r="DK27" s="117"/>
      <c r="DL27" s="118"/>
      <c r="DM27" s="94"/>
      <c r="DN27" s="119"/>
      <c r="DO27" s="94"/>
      <c r="DP27" s="94"/>
      <c r="DQ27" s="118"/>
      <c r="DR27" s="119"/>
      <c r="DS27" s="118"/>
      <c r="DT27" s="118"/>
      <c r="DU27" s="112"/>
      <c r="DV27" s="112"/>
      <c r="DW27" s="112"/>
      <c r="DX27" s="112"/>
    </row>
    <row r="28" customFormat="false" ht="14.25" hidden="false" customHeight="false" outlineLevel="0" collapsed="false">
      <c r="CA28" s="111" t="s">
        <v>216</v>
      </c>
      <c r="CB28" s="155" t="n">
        <v>0.11</v>
      </c>
      <c r="CD28" s="59"/>
      <c r="CE28" s="100"/>
      <c r="CF28" s="59"/>
      <c r="CG28" s="59"/>
      <c r="CJ28" s="140"/>
      <c r="CK28" s="100"/>
      <c r="CL28" s="57"/>
      <c r="CM28" s="57"/>
      <c r="CQ28" s="109"/>
      <c r="CS28" s="62"/>
      <c r="CU28" s="100"/>
      <c r="CV28" s="100"/>
      <c r="CW28" s="100"/>
      <c r="CX28" s="100"/>
      <c r="CY28" s="112"/>
      <c r="CZ28" s="112"/>
      <c r="DA28" s="112"/>
      <c r="DB28" s="112"/>
      <c r="DC28" s="113"/>
      <c r="DD28" s="114"/>
      <c r="DE28" s="114"/>
      <c r="DF28" s="114"/>
      <c r="DG28" s="115"/>
      <c r="DH28" s="116"/>
      <c r="DI28" s="116"/>
      <c r="DJ28" s="116"/>
      <c r="DK28" s="117"/>
      <c r="DL28" s="118"/>
      <c r="DM28" s="94"/>
      <c r="DN28" s="119"/>
      <c r="DO28" s="94"/>
      <c r="DP28" s="94"/>
      <c r="DQ28" s="118"/>
      <c r="DR28" s="119"/>
      <c r="DS28" s="118"/>
      <c r="DT28" s="118"/>
      <c r="DU28" s="112"/>
      <c r="DV28" s="112"/>
      <c r="DW28" s="112"/>
      <c r="DX28" s="112"/>
    </row>
    <row r="29" customFormat="false" ht="14.25" hidden="false" customHeight="false" outlineLevel="0" collapsed="false">
      <c r="CA29" s="111" t="s">
        <v>217</v>
      </c>
      <c r="CB29" s="155" t="n">
        <f aca="false">SUMIFS($CJ$4:$CJ$13,$CK$4:$CK$13,"&gt;500",$CK$4:$CK$13,"&lt;1000")</f>
        <v>0</v>
      </c>
      <c r="CD29" s="59"/>
      <c r="CE29" s="100"/>
      <c r="CF29" s="59"/>
      <c r="CG29" s="59"/>
      <c r="CJ29" s="140"/>
      <c r="CK29" s="100"/>
      <c r="CL29" s="57"/>
      <c r="CM29" s="57"/>
      <c r="CQ29" s="109"/>
      <c r="CS29" s="62"/>
    </row>
    <row r="30" customFormat="false" ht="14.25" hidden="false" customHeight="false" outlineLevel="0" collapsed="false">
      <c r="CA30" s="111" t="s">
        <v>218</v>
      </c>
      <c r="CB30" s="155" t="n">
        <v>0</v>
      </c>
      <c r="CD30" s="59"/>
      <c r="CE30" s="59"/>
      <c r="CF30" s="59"/>
      <c r="CG30" s="59"/>
    </row>
    <row r="31" customFormat="false" ht="14.25" hidden="false" customHeight="false" outlineLevel="0" collapsed="false">
      <c r="CA31" s="111" t="s">
        <v>219</v>
      </c>
      <c r="CB31" s="155" t="n">
        <v>0.05</v>
      </c>
      <c r="CD31" s="59"/>
      <c r="CE31" s="59"/>
      <c r="CF31" s="59"/>
      <c r="CG31" s="59"/>
    </row>
    <row r="32" customFormat="false" ht="14.25" hidden="false" customHeight="false" outlineLevel="0" collapsed="false">
      <c r="CA32" s="124"/>
      <c r="CB32" s="155"/>
      <c r="CD32" s="59"/>
      <c r="CE32" s="59"/>
      <c r="CF32" s="59"/>
      <c r="CG32" s="59"/>
    </row>
    <row r="33" customFormat="false" ht="14.25" hidden="false" customHeight="false" outlineLevel="0" collapsed="false">
      <c r="CA33" s="156" t="s">
        <v>220</v>
      </c>
      <c r="CH33" s="109"/>
    </row>
    <row r="34" customFormat="false" ht="14.25" hidden="false" customHeight="false" outlineLevel="0" collapsed="false">
      <c r="CA34" s="64" t="s">
        <v>221</v>
      </c>
      <c r="CB34" s="59" t="s">
        <v>222</v>
      </c>
      <c r="CC34" s="57" t="s">
        <v>223</v>
      </c>
      <c r="CD34" s="57"/>
      <c r="CE34" s="57"/>
      <c r="CH34" s="109"/>
    </row>
    <row r="35" customFormat="false" ht="14.25" hidden="false" customHeight="false" outlineLevel="0" collapsed="false">
      <c r="CA35" s="64" t="s">
        <v>109</v>
      </c>
      <c r="CB35" s="109" t="n">
        <v>300</v>
      </c>
      <c r="CH35" s="109"/>
    </row>
    <row r="36" customFormat="false" ht="14.25" hidden="false" customHeight="false" outlineLevel="0" collapsed="false">
      <c r="CH36" s="109"/>
    </row>
    <row r="37" customFormat="false" ht="14.25" hidden="false" customHeight="false" outlineLevel="0" collapsed="false">
      <c r="CA37" s="157" t="s">
        <v>224</v>
      </c>
      <c r="CB37" s="158"/>
      <c r="CC37" s="158"/>
      <c r="CD37" s="158"/>
      <c r="CE37" s="158"/>
      <c r="CF37" s="158"/>
      <c r="CG37" s="158"/>
      <c r="CH37" s="158"/>
    </row>
    <row r="38" customFormat="false" ht="14.25" hidden="false" customHeight="false" outlineLevel="0" collapsed="false">
      <c r="CH38" s="109"/>
    </row>
    <row r="39" customFormat="false" ht="14.25" hidden="false" customHeight="false" outlineLevel="0" collapsed="false">
      <c r="CA39" s="159" t="s">
        <v>225</v>
      </c>
      <c r="CB39" s="57"/>
      <c r="CC39" s="92" t="n">
        <v>0.034</v>
      </c>
      <c r="CD39" s="63" t="s">
        <v>226</v>
      </c>
      <c r="CF39" s="57" t="s">
        <v>226</v>
      </c>
      <c r="CG39" s="57" t="s">
        <v>136</v>
      </c>
      <c r="CH39" s="109" t="n">
        <v>5.2453</v>
      </c>
    </row>
    <row r="40" customFormat="false" ht="14.25" hidden="false" customHeight="false" outlineLevel="0" collapsed="false">
      <c r="CA40" s="159" t="s">
        <v>227</v>
      </c>
      <c r="CB40" s="57"/>
      <c r="CC40" s="92" t="n">
        <v>0.0565</v>
      </c>
      <c r="CD40" s="63" t="s">
        <v>228</v>
      </c>
      <c r="CF40" s="57" t="s">
        <v>228</v>
      </c>
      <c r="CG40" s="57" t="s">
        <v>145</v>
      </c>
      <c r="CH40" s="109" t="n">
        <v>5.1018</v>
      </c>
    </row>
    <row r="41" customFormat="false" ht="14.25" hidden="false" customHeight="false" outlineLevel="0" collapsed="false">
      <c r="CA41" s="159" t="s">
        <v>229</v>
      </c>
      <c r="CB41" s="57"/>
      <c r="CC41" s="92" t="n">
        <v>0.092</v>
      </c>
      <c r="CD41" s="63" t="s">
        <v>230</v>
      </c>
      <c r="CF41" s="57" t="s">
        <v>231</v>
      </c>
      <c r="CG41" s="57" t="s">
        <v>153</v>
      </c>
      <c r="CH41" s="109" t="n">
        <v>4.8232</v>
      </c>
    </row>
    <row r="42" customFormat="false" ht="14.25" hidden="false" customHeight="false" outlineLevel="0" collapsed="false">
      <c r="CA42" s="159" t="s">
        <v>232</v>
      </c>
      <c r="CB42" s="57"/>
      <c r="CC42" s="92" t="n">
        <v>0.11</v>
      </c>
      <c r="CD42" s="63" t="s">
        <v>231</v>
      </c>
      <c r="CF42" s="57" t="s">
        <v>233</v>
      </c>
      <c r="CG42" s="57" t="s">
        <v>161</v>
      </c>
      <c r="CH42" s="109" t="n">
        <v>5.12</v>
      </c>
    </row>
    <row r="43" customFormat="false" ht="14.25" hidden="false" customHeight="false" outlineLevel="0" collapsed="false">
      <c r="CA43" s="159" t="s">
        <v>234</v>
      </c>
      <c r="CB43" s="57"/>
      <c r="CC43" s="92" t="n">
        <v>0.157</v>
      </c>
      <c r="CD43" s="63" t="s">
        <v>233</v>
      </c>
      <c r="CF43" s="57" t="s">
        <v>235</v>
      </c>
      <c r="CG43" s="57" t="s">
        <v>167</v>
      </c>
      <c r="CH43" s="109" t="n">
        <v>4.6931</v>
      </c>
    </row>
    <row r="44" customFormat="false" ht="14.25" hidden="false" customHeight="false" outlineLevel="0" collapsed="false">
      <c r="CA44" s="159" t="s">
        <v>236</v>
      </c>
      <c r="CB44" s="57"/>
      <c r="CC44" s="92" t="n">
        <v>0.183</v>
      </c>
      <c r="CD44" s="63" t="s">
        <v>237</v>
      </c>
      <c r="CF44" s="100" t="s">
        <v>235</v>
      </c>
      <c r="CG44" s="57" t="s">
        <v>173</v>
      </c>
      <c r="CH44" s="109" t="n">
        <v>4.6611</v>
      </c>
    </row>
    <row r="45" customFormat="false" ht="14.25" hidden="false" customHeight="false" outlineLevel="0" collapsed="false">
      <c r="CA45" s="159" t="s">
        <v>226</v>
      </c>
      <c r="CB45" s="57"/>
      <c r="CC45" s="92" t="n">
        <v>0.232</v>
      </c>
      <c r="CD45" s="63" t="s">
        <v>238</v>
      </c>
      <c r="CF45" s="100" t="s">
        <v>230</v>
      </c>
      <c r="CG45" s="57" t="s">
        <v>180</v>
      </c>
      <c r="CH45" s="109" t="n">
        <v>4.5665</v>
      </c>
    </row>
    <row r="46" customFormat="false" ht="14.25" hidden="false" customHeight="false" outlineLevel="0" collapsed="false">
      <c r="CC46" s="92"/>
      <c r="CD46" s="63" t="s">
        <v>239</v>
      </c>
      <c r="CF46" s="100" t="s">
        <v>240</v>
      </c>
      <c r="CG46" s="57" t="s">
        <v>187</v>
      </c>
      <c r="CH46" s="109" t="n">
        <v>4.369</v>
      </c>
    </row>
    <row r="47" customFormat="false" ht="14.25" hidden="false" customHeight="false" outlineLevel="0" collapsed="false">
      <c r="CC47" s="92"/>
      <c r="CD47" s="63" t="s">
        <v>241</v>
      </c>
      <c r="CF47" s="100" t="s">
        <v>240</v>
      </c>
      <c r="CG47" s="57" t="s">
        <v>193</v>
      </c>
      <c r="CH47" s="109" t="n">
        <v>4.0918</v>
      </c>
    </row>
    <row r="48" customFormat="false" ht="14.25" hidden="false" customHeight="false" outlineLevel="0" collapsed="false">
      <c r="CD48" s="63" t="s">
        <v>236</v>
      </c>
      <c r="CF48" s="100" t="s">
        <v>235</v>
      </c>
      <c r="CG48" s="57" t="s">
        <v>242</v>
      </c>
      <c r="CH48" s="109" t="n">
        <v>3.9981</v>
      </c>
    </row>
    <row r="49" customFormat="false" ht="14.25" hidden="false" customHeight="false" outlineLevel="0" collapsed="false">
      <c r="CD49" s="63" t="s">
        <v>235</v>
      </c>
      <c r="CF49" s="100" t="s">
        <v>243</v>
      </c>
      <c r="CG49" s="57" t="s">
        <v>244</v>
      </c>
      <c r="CH49" s="109" t="n">
        <v>3.8686</v>
      </c>
    </row>
    <row r="50" customFormat="false" ht="14.25" hidden="false" customHeight="false" outlineLevel="0" collapsed="false">
      <c r="CD50" s="63" t="s">
        <v>245</v>
      </c>
      <c r="CF50" s="146" t="s">
        <v>238</v>
      </c>
      <c r="CG50" s="57" t="s">
        <v>246</v>
      </c>
      <c r="CH50" s="109" t="n">
        <v>3.8312</v>
      </c>
    </row>
    <row r="51" customFormat="false" ht="14.25" hidden="false" customHeight="false" outlineLevel="0" collapsed="false">
      <c r="CD51" s="63" t="s">
        <v>247</v>
      </c>
      <c r="CF51" s="100" t="s">
        <v>235</v>
      </c>
      <c r="CG51" s="57" t="s">
        <v>248</v>
      </c>
      <c r="CH51" s="109" t="n">
        <v>3.6583</v>
      </c>
    </row>
    <row r="52" customFormat="false" ht="14.25" hidden="false" customHeight="false" outlineLevel="0" collapsed="false">
      <c r="CD52" s="63" t="s">
        <v>249</v>
      </c>
      <c r="CF52" s="146" t="s">
        <v>238</v>
      </c>
      <c r="CG52" s="57" t="s">
        <v>250</v>
      </c>
      <c r="CH52" s="109" t="n">
        <v>3.5657</v>
      </c>
    </row>
    <row r="53" customFormat="false" ht="14.25" hidden="false" customHeight="false" outlineLevel="0" collapsed="false">
      <c r="CF53" s="100" t="s">
        <v>240</v>
      </c>
      <c r="CG53" s="57" t="s">
        <v>251</v>
      </c>
      <c r="CH53" s="109" t="n">
        <v>3.4562</v>
      </c>
    </row>
    <row r="54" customFormat="false" ht="14.25" hidden="false" customHeight="false" outlineLevel="0" collapsed="false">
      <c r="CF54" s="100" t="s">
        <v>233</v>
      </c>
      <c r="CG54" s="57" t="s">
        <v>252</v>
      </c>
      <c r="CH54" s="109" t="n">
        <v>3.4422</v>
      </c>
    </row>
    <row r="55" customFormat="false" ht="14.25" hidden="false" customHeight="false" outlineLevel="0" collapsed="false">
      <c r="CF55" s="63" t="s">
        <v>237</v>
      </c>
      <c r="CG55" s="57" t="s">
        <v>100</v>
      </c>
      <c r="CH55" s="109" t="n">
        <v>3.2846</v>
      </c>
    </row>
    <row r="56" customFormat="false" ht="14.25" hidden="false" customHeight="false" outlineLevel="0" collapsed="false">
      <c r="CF56" s="63" t="s">
        <v>237</v>
      </c>
      <c r="CG56" s="57" t="s">
        <v>104</v>
      </c>
      <c r="CH56" s="109" t="n">
        <v>3.1792</v>
      </c>
    </row>
    <row r="57" customFormat="false" ht="14.25" hidden="false" customHeight="false" outlineLevel="0" collapsed="false">
      <c r="CG57" s="57" t="s">
        <v>106</v>
      </c>
      <c r="CH57" s="109" t="n">
        <v>3.088</v>
      </c>
    </row>
    <row r="58" customFormat="false" ht="14.25" hidden="false" customHeight="false" outlineLevel="0" collapsed="false">
      <c r="CG58" s="57" t="s">
        <v>134</v>
      </c>
      <c r="CH58" s="109" t="n">
        <v>2.8993</v>
      </c>
    </row>
    <row r="59" customFormat="false" ht="14.25" hidden="false" customHeight="false" outlineLevel="0" collapsed="false">
      <c r="CG59" s="57" t="s">
        <v>143</v>
      </c>
      <c r="CH59" s="109" t="n">
        <v>2.6212</v>
      </c>
    </row>
    <row r="60" customFormat="false" ht="14.25" hidden="false" customHeight="false" outlineLevel="0" collapsed="false">
      <c r="CG60" s="57" t="s">
        <v>151</v>
      </c>
      <c r="CH60" s="109" t="n">
        <v>2.3648</v>
      </c>
    </row>
    <row r="61" customFormat="false" ht="14.25" hidden="false" customHeight="false" outlineLevel="0" collapsed="false">
      <c r="CG61" s="57" t="s">
        <v>159</v>
      </c>
      <c r="CH61" s="109" t="n">
        <v>1.8503</v>
      </c>
    </row>
  </sheetData>
  <mergeCells count="11">
    <mergeCell ref="C1:Q1"/>
    <mergeCell ref="S1:AB1"/>
    <mergeCell ref="AD1:AN1"/>
    <mergeCell ref="AP1:AX1"/>
    <mergeCell ref="AZ1:BN1"/>
    <mergeCell ref="CA1:CS1"/>
    <mergeCell ref="BQ2:BS2"/>
    <mergeCell ref="CA2:CS2"/>
    <mergeCell ref="CD13:CG13"/>
    <mergeCell ref="CI13:CO13"/>
    <mergeCell ref="D14:E14"/>
  </mergeCells>
  <conditionalFormatting sqref="DC3:DF3 DH3:DT3">
    <cfRule type="expression" priority="2" aboveAverage="0" equalAverage="0" bottom="0" percent="0" rank="0" text="" dxfId="2">
      <formula>#ref!="Euroz"</formula>
    </cfRule>
  </conditionalFormatting>
  <conditionalFormatting sqref="DC4:DF28 DH4:DT28">
    <cfRule type="expression" priority="3" aboveAverage="0" equalAverage="0" bottom="0" percent="0" rank="0" text="" dxfId="3">
      <formula>#ref!="Euroz"</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9" activeCellId="0" sqref="J29"/>
    </sheetView>
  </sheetViews>
  <sheetFormatPr defaultColWidth="8.6796875" defaultRowHeight="14.25" customHeight="true" zeroHeight="false" outlineLevelRow="0" outlineLevelCol="0"/>
  <cols>
    <col collapsed="false" customWidth="true" hidden="false" outlineLevel="0" max="1" min="1" style="160" width="8.86"/>
  </cols>
  <sheetData>
    <row r="1" customFormat="false" ht="14.25" hidden="false" customHeight="false" outlineLevel="0" collapsed="false">
      <c r="A1" s="160" t="s">
        <v>253</v>
      </c>
    </row>
    <row r="2" customFormat="false" ht="14.25" hidden="false" customHeight="false" outlineLevel="0" collapsed="false">
      <c r="A2" s="160" t="s">
        <v>254</v>
      </c>
    </row>
    <row r="3" customFormat="false" ht="14.25" hidden="false" customHeight="false" outlineLevel="0" collapsed="false">
      <c r="A3" s="160" t="s">
        <v>255</v>
      </c>
    </row>
    <row r="4" customFormat="false" ht="14.25" hidden="false" customHeight="false" outlineLevel="0" collapsed="false">
      <c r="A4" s="160" t="s">
        <v>256</v>
      </c>
    </row>
    <row r="5" customFormat="false" ht="14.25" hidden="false" customHeight="false" outlineLevel="0" collapsed="false">
      <c r="A5" s="160" t="s">
        <v>257</v>
      </c>
    </row>
    <row r="6" customFormat="false" ht="14.25" hidden="false" customHeight="false" outlineLevel="0" collapsed="false">
      <c r="A6" s="160" t="s">
        <v>258</v>
      </c>
    </row>
    <row r="8" customFormat="false" ht="14.25" hidden="false" customHeight="false" outlineLevel="0" collapsed="false">
      <c r="A8" s="160" t="s">
        <v>259</v>
      </c>
    </row>
    <row r="9" customFormat="false" ht="14.25" hidden="false" customHeight="false" outlineLevel="0" collapsed="false">
      <c r="A9" s="160" t="n">
        <v>46645</v>
      </c>
    </row>
    <row r="10" customFormat="false" ht="14.25" hidden="false" customHeight="false" outlineLevel="0" collapsed="false">
      <c r="A10" s="160" t="s">
        <v>260</v>
      </c>
    </row>
    <row r="11" customFormat="false" ht="14.25" hidden="false" customHeight="true" outlineLevel="0" collapsed="false">
      <c r="A11" s="160" t="s">
        <v>261</v>
      </c>
    </row>
    <row r="12" customFormat="false" ht="14.25" hidden="false" customHeight="false" outlineLevel="0" collapsed="false">
      <c r="A12" s="160" t="s">
        <v>262</v>
      </c>
    </row>
    <row r="13" customFormat="false" ht="14.25" hidden="false" customHeight="false" outlineLevel="0" collapsed="false">
      <c r="A13" s="160" t="s">
        <v>263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2" activeCellId="0" sqref="E12"/>
    </sheetView>
  </sheetViews>
  <sheetFormatPr defaultColWidth="8.6796875" defaultRowHeight="14.25" customHeight="true" zeroHeight="false" outlineLevelRow="0" outlineLevelCol="0"/>
  <cols>
    <col collapsed="false" customWidth="true" hidden="false" outlineLevel="0" max="1" min="1" style="0" width="12.86"/>
    <col collapsed="false" customWidth="true" hidden="false" outlineLevel="0" max="2" min="2" style="0" width="21"/>
    <col collapsed="false" customWidth="true" hidden="false" outlineLevel="0" max="5" min="5" style="0" width="34.29"/>
  </cols>
  <sheetData>
    <row r="1" customFormat="false" ht="14.25" hidden="false" customHeight="false" outlineLevel="0" collapsed="false">
      <c r="A1" s="161" t="s">
        <v>59</v>
      </c>
      <c r="B1" s="161" t="s">
        <v>264</v>
      </c>
      <c r="D1" s="161" t="s">
        <v>265</v>
      </c>
      <c r="E1" s="161" t="s">
        <v>266</v>
      </c>
    </row>
    <row r="2" customFormat="false" ht="14.25" hidden="false" customHeight="false" outlineLevel="0" collapsed="false">
      <c r="A2" s="162" t="n">
        <v>45838</v>
      </c>
      <c r="B2" s="163" t="n">
        <v>0</v>
      </c>
      <c r="D2" s="0" t="s">
        <v>10</v>
      </c>
      <c r="E2" s="163" t="n">
        <f aca="false">Performancedata!C6</f>
        <v>0.0295763262799684</v>
      </c>
    </row>
    <row r="3" customFormat="false" ht="14.25" hidden="false" customHeight="false" outlineLevel="0" collapsed="false">
      <c r="A3" s="162" t="n">
        <v>45869</v>
      </c>
      <c r="B3" s="163" t="n">
        <v>0.0266</v>
      </c>
      <c r="D3" s="0" t="s">
        <v>11</v>
      </c>
      <c r="E3" s="163" t="n">
        <f aca="false">Performancedata!E6</f>
        <v>0.0814669731244788</v>
      </c>
    </row>
    <row r="4" customFormat="false" ht="14.25" hidden="false" customHeight="false" outlineLevel="0" collapsed="false">
      <c r="A4" s="162" t="n">
        <v>45900</v>
      </c>
      <c r="B4" s="163" t="n">
        <v>0.0504</v>
      </c>
      <c r="D4" s="0" t="s">
        <v>12</v>
      </c>
      <c r="E4" s="163" t="n">
        <f aca="false">Performancedata!F6</f>
        <v>0.0814669731244788</v>
      </c>
    </row>
    <row r="5" customFormat="false" ht="14.25" hidden="false" customHeight="false" outlineLevel="0" collapsed="false">
      <c r="A5" s="162" t="n">
        <v>45930</v>
      </c>
      <c r="B5" s="163" t="n">
        <v>0.077</v>
      </c>
      <c r="D5" s="0" t="s">
        <v>82</v>
      </c>
      <c r="E5" s="164" t="n">
        <f aca="false">Performancedata!H6</f>
        <v>0.369073664356184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ColWidth="8.6796875" defaultRowHeight="14.25" customHeight="true" zeroHeight="false" outlineLevelRow="0" outlineLevelCol="0"/>
  <cols>
    <col collapsed="false" customWidth="true" hidden="false" outlineLevel="0" max="1" min="1" style="0" width="10.29"/>
  </cols>
  <sheetData>
    <row r="1" customFormat="false" ht="14.25" hidden="false" customHeight="false" outlineLevel="0" collapsed="false">
      <c r="A1" s="161" t="s">
        <v>267</v>
      </c>
      <c r="B1" s="161" t="s">
        <v>268</v>
      </c>
      <c r="C1" s="161" t="s">
        <v>269</v>
      </c>
      <c r="D1" s="161" t="s">
        <v>270</v>
      </c>
      <c r="E1" s="161" t="s">
        <v>271</v>
      </c>
      <c r="F1" s="161" t="s">
        <v>272</v>
      </c>
      <c r="G1" s="161" t="s">
        <v>273</v>
      </c>
      <c r="H1" s="161" t="s">
        <v>274</v>
      </c>
      <c r="I1" s="161" t="s">
        <v>275</v>
      </c>
      <c r="J1" s="161" t="s">
        <v>276</v>
      </c>
      <c r="K1" s="161" t="s">
        <v>277</v>
      </c>
      <c r="L1" s="161" t="s">
        <v>278</v>
      </c>
      <c r="M1" s="161" t="s">
        <v>279</v>
      </c>
    </row>
    <row r="2" customFormat="false" ht="14.25" hidden="false" customHeight="false" outlineLevel="0" collapsed="false">
      <c r="A2" s="0" t="s">
        <v>280</v>
      </c>
      <c r="B2" s="164" t="n">
        <v>0.1</v>
      </c>
      <c r="C2" s="0" t="n">
        <v>1</v>
      </c>
    </row>
    <row r="3" customFormat="false" ht="14.25" hidden="false" customHeight="false" outlineLevel="0" collapsed="false">
      <c r="A3" s="0" t="s">
        <v>44</v>
      </c>
      <c r="B3" s="164" t="n">
        <v>0.09</v>
      </c>
      <c r="C3" s="0" t="n">
        <v>2</v>
      </c>
    </row>
    <row r="4" customFormat="false" ht="14.25" hidden="false" customHeight="false" outlineLevel="0" collapsed="false">
      <c r="A4" s="0" t="s">
        <v>46</v>
      </c>
      <c r="B4" s="164" t="n">
        <v>0.08</v>
      </c>
      <c r="C4" s="0" t="n">
        <v>3</v>
      </c>
    </row>
    <row r="5" customFormat="false" ht="15" hidden="false" customHeight="false" outlineLevel="0" collapsed="false">
      <c r="B5" s="164"/>
    </row>
    <row r="6" customFormat="false" ht="15" hidden="false" customHeight="false" outlineLevel="0" collapsed="false">
      <c r="B6" s="16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ColWidth="8.6796875" defaultRowHeight="14.25" customHeight="true" zeroHeight="false" outlineLevelRow="0" outlineLevelCol="0"/>
  <cols>
    <col collapsed="false" customWidth="true" hidden="false" outlineLevel="0" max="1" min="1" style="0" width="16.29"/>
    <col collapsed="false" customWidth="true" hidden="false" outlineLevel="0" max="2" min="2" style="0" width="30.71"/>
  </cols>
  <sheetData>
    <row r="1" customFormat="false" ht="14.25" hidden="false" customHeight="false" outlineLevel="0" collapsed="false">
      <c r="A1" s="161" t="s">
        <v>281</v>
      </c>
      <c r="B1" s="161" t="s">
        <v>266</v>
      </c>
      <c r="C1" s="161" t="s">
        <v>270</v>
      </c>
      <c r="D1" s="161" t="s">
        <v>271</v>
      </c>
    </row>
    <row r="2" customFormat="false" ht="14.25" hidden="false" customHeight="false" outlineLevel="0" collapsed="false">
      <c r="A2" s="0" t="s">
        <v>42</v>
      </c>
      <c r="B2" s="163" t="n">
        <v>0.0266</v>
      </c>
    </row>
    <row r="3" customFormat="false" ht="14.25" hidden="false" customHeight="false" outlineLevel="0" collapsed="false">
      <c r="A3" s="0" t="s">
        <v>43</v>
      </c>
      <c r="B3" s="163" t="n">
        <v>0.023183323592441</v>
      </c>
    </row>
    <row r="4" customFormat="false" ht="14.25" hidden="false" customHeight="false" outlineLevel="0" collapsed="false">
      <c r="A4" s="0" t="s">
        <v>45</v>
      </c>
      <c r="B4" s="163" t="n">
        <v>0.0316591063999812</v>
      </c>
    </row>
    <row r="5" customFormat="false" ht="14.25" hidden="false" customHeight="false" outlineLevel="0" collapsed="false">
      <c r="A5" s="0" t="s">
        <v>47</v>
      </c>
      <c r="B5" s="163" t="n">
        <v>0.00696108122768169</v>
      </c>
    </row>
    <row r="6" customFormat="false" ht="14.25" hidden="false" customHeight="false" outlineLevel="0" collapsed="false">
      <c r="A6" s="0" t="s">
        <v>48</v>
      </c>
      <c r="B6" s="163" t="n">
        <v>1.61037315367396</v>
      </c>
    </row>
    <row r="7" customFormat="false" ht="14.25" hidden="false" customHeight="false" outlineLevel="0" collapsed="false">
      <c r="A7" s="0" t="s">
        <v>49</v>
      </c>
      <c r="B7" s="163" t="s">
        <v>50</v>
      </c>
    </row>
    <row r="8" customFormat="false" ht="14.25" hidden="false" customHeight="false" outlineLevel="0" collapsed="false">
      <c r="A8" s="0" t="s">
        <v>51</v>
      </c>
      <c r="B8" s="163" t="n">
        <v>0</v>
      </c>
    </row>
    <row r="9" customFormat="false" ht="14.25" hidden="false" customHeight="false" outlineLevel="0" collapsed="false">
      <c r="A9" s="0" t="s">
        <v>52</v>
      </c>
      <c r="B9" s="163" t="n">
        <v>0</v>
      </c>
    </row>
    <row r="10" customFormat="false" ht="14.25" hidden="false" customHeight="false" outlineLevel="0" collapsed="false">
      <c r="A10" s="0" t="s">
        <v>53</v>
      </c>
      <c r="B10" s="165" t="n">
        <v>0.0626959817445317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6796875" defaultRowHeight="14.25" customHeight="true" zeroHeight="false" outlineLevelRow="0" outlineLevelCol="0"/>
  <cols>
    <col collapsed="false" customWidth="true" hidden="false" outlineLevel="0" max="1" min="1" style="0" width="23.29"/>
    <col collapsed="false" customWidth="true" hidden="false" outlineLevel="0" max="2" min="2" style="0" width="30.29"/>
  </cols>
  <sheetData>
    <row r="1" customFormat="false" ht="19.7" hidden="false" customHeight="false" outlineLevel="0" collapsed="false">
      <c r="A1" s="166" t="s">
        <v>281</v>
      </c>
      <c r="B1" s="166" t="s">
        <v>266</v>
      </c>
    </row>
    <row r="2" customFormat="false" ht="17.35" hidden="false" customHeight="false" outlineLevel="0" collapsed="false">
      <c r="A2" s="167" t="str">
        <f aca="false">Newsletter!AC126</f>
        <v>Universe</v>
      </c>
      <c r="B2" s="35" t="str">
        <f aca="false">Newsletter!AF126</f>
        <v>Global</v>
      </c>
    </row>
    <row r="3" customFormat="false" ht="17.35" hidden="false" customHeight="false" outlineLevel="0" collapsed="false">
      <c r="A3" s="167" t="str">
        <f aca="false">Newsletter!AC127</f>
        <v>Holdings</v>
      </c>
      <c r="B3" s="35" t="str">
        <f aca="false">Newsletter!AF127</f>
        <v>5-20</v>
      </c>
    </row>
    <row r="4" customFormat="false" ht="17.35" hidden="false" customHeight="false" outlineLevel="0" collapsed="false">
      <c r="A4" s="167" t="str">
        <f aca="false">Newsletter!AC128</f>
        <v>Target</v>
      </c>
      <c r="B4" s="35" t="str">
        <f aca="false">Newsletter!AF128</f>
        <v>&gt;10% net p.a.</v>
      </c>
    </row>
    <row r="5" customFormat="false" ht="17.35" hidden="false" customHeight="false" outlineLevel="0" collapsed="false">
      <c r="A5" s="167" t="str">
        <f aca="false">Newsletter!AC129</f>
        <v>Min Investment</v>
      </c>
      <c r="B5" s="35" t="str">
        <f aca="false">Newsletter!AF129</f>
        <v>$100k</v>
      </c>
    </row>
    <row r="6" customFormat="false" ht="17.35" hidden="false" customHeight="false" outlineLevel="0" collapsed="false">
      <c r="A6" s="167" t="str">
        <f aca="false">Newsletter!AC130</f>
        <v>Mgmt. Fee</v>
      </c>
      <c r="B6" s="35" t="n">
        <f aca="false">Newsletter!AF130</f>
        <v>0.01</v>
      </c>
    </row>
    <row r="7" customFormat="false" ht="17.35" hidden="false" customHeight="false" outlineLevel="0" collapsed="false">
      <c r="A7" s="167" t="str">
        <f aca="false">Newsletter!AC131</f>
        <v>Perf. Fee</v>
      </c>
      <c r="B7" s="35" t="n">
        <f aca="false">Newsletter!AF131</f>
        <v>0.2</v>
      </c>
    </row>
    <row r="8" customFormat="false" ht="17.35" hidden="false" customHeight="false" outlineLevel="0" collapsed="false">
      <c r="A8" s="167" t="str">
        <f aca="false">Newsletter!AC132</f>
        <v>APIR</v>
      </c>
      <c r="B8" s="35" t="str">
        <f aca="false">Newsletter!AF132</f>
        <v>NCC5451AU</v>
      </c>
    </row>
    <row r="9" customFormat="false" ht="17.35" hidden="false" customHeight="false" outlineLevel="0" collapsed="false">
      <c r="A9" s="167" t="str">
        <f aca="false">Newsletter!AC133</f>
        <v>Vehicle</v>
      </c>
      <c r="B9" s="35" t="str">
        <f aca="false">Newsletter!AF133</f>
        <v>Wholesale Unit Trust</v>
      </c>
    </row>
    <row r="10" customFormat="false" ht="17.35" hidden="false" customHeight="false" outlineLevel="0" collapsed="false">
      <c r="A10" s="167" t="str">
        <f aca="false">Newsletter!AC134</f>
        <v>PM</v>
      </c>
      <c r="B10" s="35" t="str">
        <f aca="false">Newsletter!AF134</f>
        <v>Hayden Beamish</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8.6796875" defaultRowHeight="14.25" customHeight="true" zeroHeight="false" outlineLevelRow="0" outlineLevelCol="0"/>
  <cols>
    <col collapsed="false" customWidth="true" hidden="false" outlineLevel="0" max="1" min="1" style="0" width="11.14"/>
    <col collapsed="false" customWidth="true" hidden="false" outlineLevel="0" max="4" min="4" style="0" width="9.71"/>
    <col collapsed="false" customWidth="true" hidden="false" outlineLevel="0" max="5" min="5" style="0" width="17.86"/>
    <col collapsed="false" customWidth="true" hidden="false" outlineLevel="0" max="7" min="7" style="0" width="17.42"/>
    <col collapsed="false" customWidth="true" hidden="false" outlineLevel="0" max="8" min="8" style="0" width="34.42"/>
    <col collapsed="false" customWidth="true" hidden="false" outlineLevel="0" max="9" min="9" style="0" width="45.85"/>
  </cols>
  <sheetData>
    <row r="1" customFormat="false" ht="14.25" hidden="false" customHeight="false" outlineLevel="0" collapsed="false">
      <c r="A1" s="168" t="s">
        <v>281</v>
      </c>
      <c r="B1" s="168" t="s">
        <v>266</v>
      </c>
      <c r="D1" s="168" t="s">
        <v>282</v>
      </c>
      <c r="E1" s="168" t="s">
        <v>266</v>
      </c>
      <c r="G1" s="168" t="s">
        <v>282</v>
      </c>
      <c r="H1" s="168" t="s">
        <v>266</v>
      </c>
      <c r="I1" s="168" t="s">
        <v>283</v>
      </c>
    </row>
    <row r="2" customFormat="false" ht="14.25" hidden="false" customHeight="false" outlineLevel="0" collapsed="false">
      <c r="A2" s="0" t="s">
        <v>284</v>
      </c>
      <c r="B2" s="164" t="n">
        <v>0.73</v>
      </c>
      <c r="D2" s="91" t="s">
        <v>99</v>
      </c>
      <c r="E2" s="0" t="n">
        <v>-0.0942024762553357</v>
      </c>
      <c r="G2" s="0" t="s">
        <v>285</v>
      </c>
      <c r="H2" s="0" t="n">
        <v>0.84</v>
      </c>
      <c r="I2" s="0" t="s">
        <v>215</v>
      </c>
    </row>
    <row r="3" customFormat="false" ht="14.25" hidden="false" customHeight="false" outlineLevel="0" collapsed="false">
      <c r="A3" s="0" t="s">
        <v>286</v>
      </c>
      <c r="B3" s="164" t="n">
        <v>0.45</v>
      </c>
      <c r="D3" s="121" t="s">
        <v>102</v>
      </c>
      <c r="E3" s="0" t="n">
        <v>0.0032630110838609</v>
      </c>
      <c r="G3" s="0" t="s">
        <v>287</v>
      </c>
      <c r="H3" s="0" t="n">
        <v>0.11</v>
      </c>
      <c r="I3" s="0" t="s">
        <v>216</v>
      </c>
    </row>
    <row r="4" customFormat="false" ht="14.25" hidden="false" customHeight="false" outlineLevel="0" collapsed="false">
      <c r="A4" s="0" t="s">
        <v>288</v>
      </c>
      <c r="B4" s="164" t="n">
        <v>0.28</v>
      </c>
      <c r="D4" s="121" t="s">
        <v>103</v>
      </c>
      <c r="E4" s="0" t="n">
        <v>0.0229767033734125</v>
      </c>
      <c r="G4" s="0" t="s">
        <v>289</v>
      </c>
      <c r="H4" s="0" t="n">
        <v>0</v>
      </c>
      <c r="I4" s="0" t="s">
        <v>217</v>
      </c>
    </row>
    <row r="5" customFormat="false" ht="14.25" hidden="false" customHeight="false" outlineLevel="0" collapsed="false">
      <c r="D5" s="121" t="s">
        <v>105</v>
      </c>
      <c r="E5" s="0" t="n">
        <v>0.0376420435342374</v>
      </c>
      <c r="G5" s="0" t="s">
        <v>290</v>
      </c>
      <c r="H5" s="0" t="n">
        <v>0</v>
      </c>
      <c r="I5" s="0" t="s">
        <v>218</v>
      </c>
    </row>
    <row r="6" customFormat="false" ht="14.25" hidden="false" customHeight="false" outlineLevel="0" collapsed="false">
      <c r="D6" s="121" t="s">
        <v>133</v>
      </c>
      <c r="E6" s="0" t="n">
        <v>0.0502205088018873</v>
      </c>
      <c r="G6" s="0" t="s">
        <v>291</v>
      </c>
      <c r="H6" s="0" t="n">
        <v>0.05</v>
      </c>
      <c r="I6" s="0" t="s">
        <v>219</v>
      </c>
    </row>
    <row r="7" customFormat="false" ht="14.25" hidden="false" customHeight="false" outlineLevel="0" collapsed="false">
      <c r="D7" s="121"/>
    </row>
    <row r="8" customFormat="false" ht="14.25" hidden="false" customHeight="false" outlineLevel="0" collapsed="false">
      <c r="D8" s="91" t="s">
        <v>142</v>
      </c>
      <c r="E8" s="0" t="n">
        <v>0.0926676846671378</v>
      </c>
    </row>
    <row r="9" customFormat="false" ht="14.25" hidden="false" customHeight="false" outlineLevel="0" collapsed="false">
      <c r="D9" s="91" t="s">
        <v>150</v>
      </c>
      <c r="E9" s="0" t="n">
        <v>0.198940709548569</v>
      </c>
    </row>
    <row r="10" customFormat="false" ht="14.25" hidden="false" customHeight="false" outlineLevel="0" collapsed="false">
      <c r="D10" s="134" t="s">
        <v>158</v>
      </c>
      <c r="E10" s="0" t="n">
        <v>0.688491815246231</v>
      </c>
    </row>
    <row r="13" customFormat="false" ht="14.25" hidden="false" customHeight="false" outlineLevel="0" collapsed="false">
      <c r="D13" s="91"/>
      <c r="E13" s="92"/>
      <c r="F13" s="93"/>
    </row>
    <row r="14" customFormat="false" ht="14.25" hidden="false" customHeight="false" outlineLevel="0" collapsed="false">
      <c r="D14" s="121"/>
      <c r="E14" s="122"/>
      <c r="F14" s="123"/>
    </row>
    <row r="15" customFormat="false" ht="14.25" hidden="false" customHeight="false" outlineLevel="0" collapsed="false">
      <c r="D15" s="121"/>
      <c r="E15" s="92"/>
      <c r="F15" s="123"/>
    </row>
    <row r="16" customFormat="false" ht="14.25" hidden="false" customHeight="false" outlineLevel="0" collapsed="false">
      <c r="D16" s="121"/>
      <c r="E16" s="92"/>
      <c r="F16" s="123"/>
    </row>
    <row r="17" customFormat="false" ht="14.25" hidden="false" customHeight="false" outlineLevel="0" collapsed="false">
      <c r="D17" s="121"/>
      <c r="E17" s="92"/>
      <c r="F17" s="123"/>
    </row>
    <row r="18" customFormat="false" ht="14.25" hidden="false" customHeight="false" outlineLevel="0" collapsed="false">
      <c r="D18" s="91"/>
      <c r="E18" s="92"/>
      <c r="F18" s="93"/>
    </row>
    <row r="19" customFormat="false" ht="14.25" hidden="false" customHeight="false" outlineLevel="0" collapsed="false">
      <c r="D19" s="91"/>
      <c r="E19" s="92"/>
      <c r="F19" s="93"/>
    </row>
    <row r="20" customFormat="false" ht="14.25" hidden="false" customHeight="false" outlineLevel="0" collapsed="false">
      <c r="D20" s="134"/>
      <c r="E20" s="92"/>
      <c r="F20" s="12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4.25" customHeight="true" zeroHeight="false" outlineLevelRow="0" outlineLevelCol="0"/>
  <cols>
    <col collapsed="false" customWidth="true" hidden="false" outlineLevel="0" max="1" min="1" style="0" width="12"/>
    <col collapsed="false" customWidth="true" hidden="false" outlineLevel="0" max="2" min="2" style="0" width="30.71"/>
  </cols>
  <sheetData>
    <row r="1" customFormat="false" ht="14.25" hidden="false" customHeight="false" outlineLevel="0" collapsed="false">
      <c r="A1" s="168" t="s">
        <v>281</v>
      </c>
      <c r="B1" s="168" t="s">
        <v>292</v>
      </c>
    </row>
    <row r="2" customFormat="false" ht="76.1" hidden="false" customHeight="false" outlineLevel="0" collapsed="false">
      <c r="A2" s="169" t="s">
        <v>293</v>
      </c>
      <c r="B2" s="170" t="s">
        <v>294</v>
      </c>
    </row>
    <row r="3" customFormat="false" ht="76.1" hidden="false" customHeight="false" outlineLevel="0" collapsed="false">
      <c r="A3" s="0" t="s">
        <v>295</v>
      </c>
      <c r="B3" s="170" t="s">
        <v>296</v>
      </c>
    </row>
    <row r="4" customFormat="false" ht="98.5" hidden="false" customHeight="false" outlineLevel="0" collapsed="false">
      <c r="A4" s="0" t="s">
        <v>297</v>
      </c>
      <c r="B4" s="170" t="s">
        <v>298</v>
      </c>
    </row>
    <row r="5" customFormat="false" ht="91" hidden="false" customHeight="false" outlineLevel="0" collapsed="false">
      <c r="A5" s="0" t="s">
        <v>299</v>
      </c>
      <c r="B5" s="170" t="s">
        <v>300</v>
      </c>
    </row>
    <row r="8" customFormat="false" ht="22.05" hidden="false" customHeight="false" outlineLevel="0" collapsed="false">
      <c r="A8" s="171"/>
    </row>
    <row r="9" customFormat="false" ht="14.25" hidden="false" customHeight="false" outlineLevel="0" collapsed="false">
      <c r="A9" s="172"/>
    </row>
    <row r="10" customFormat="false" ht="14.25" hidden="false" customHeight="false" outlineLevel="0" collapsed="false">
      <c r="A10" s="170"/>
    </row>
    <row r="11" customFormat="false" ht="14.25" hidden="false" customHeight="false" outlineLevel="0" collapsed="false">
      <c r="A11" s="173"/>
    </row>
    <row r="12" customFormat="false" ht="22.05" hidden="false" customHeight="false" outlineLevel="0" collapsed="false">
      <c r="A12" s="171"/>
    </row>
    <row r="13" customFormat="false" ht="14.25" hidden="false" customHeight="false" outlineLevel="0" collapsed="false">
      <c r="A13" s="172"/>
    </row>
    <row r="14" customFormat="false" ht="14.25" hidden="false" customHeight="false" outlineLevel="0" collapsed="false">
      <c r="A14" s="170"/>
    </row>
    <row r="15" customFormat="false" ht="14.25" hidden="false" customHeight="false" outlineLevel="0" collapsed="false">
      <c r="A15" s="173"/>
    </row>
    <row r="16" customFormat="false" ht="22.05" hidden="false" customHeight="false" outlineLevel="0" collapsed="false">
      <c r="A16" s="171"/>
    </row>
    <row r="17" customFormat="false" ht="14.25" hidden="false" customHeight="false" outlineLevel="0" collapsed="false">
      <c r="A17" s="172"/>
    </row>
    <row r="18" customFormat="false" ht="14.25" hidden="false" customHeight="false" outlineLevel="0" collapsed="false">
      <c r="A18" s="170"/>
    </row>
    <row r="19" customFormat="false" ht="14.25" hidden="false" customHeight="false" outlineLevel="0" collapsed="false">
      <c r="A19" s="173"/>
    </row>
    <row r="20" customFormat="false" ht="22.05" hidden="false" customHeight="false" outlineLevel="0" collapsed="false">
      <c r="A20" s="171"/>
    </row>
    <row r="21" customFormat="false" ht="14.25" hidden="false" customHeight="false" outlineLevel="0" collapsed="false">
      <c r="A21" s="172"/>
    </row>
    <row r="22" customFormat="false" ht="14.25" hidden="false" customHeight="false" outlineLevel="0" collapsed="false">
      <c r="A22" s="17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d6d0250-26e6-4018-96cc-9d4b267bf602">
      <Terms xmlns="http://schemas.microsoft.com/office/infopath/2007/PartnerControls"/>
    </lcf76f155ced4ddcb4097134ff3c332f>
    <TaxCatchAll xmlns="ba7ac31c-47df-4cec-a670-87c4a6b08e03" xsi:nil="true"/>
    <MediaLengthInSeconds xmlns="cd6d0250-26e6-4018-96cc-9d4b267bf60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93564D6C4D0CB46BB0B3867B66CB08A" ma:contentTypeVersion="12" ma:contentTypeDescription="Create a new document." ma:contentTypeScope="" ma:versionID="bce3920f10c0447f8b309609c7409b95">
  <xsd:schema xmlns:xsd="http://www.w3.org/2001/XMLSchema" xmlns:xs="http://www.w3.org/2001/XMLSchema" xmlns:p="http://schemas.microsoft.com/office/2006/metadata/properties" xmlns:ns2="cd6d0250-26e6-4018-96cc-9d4b267bf602" xmlns:ns3="ba7ac31c-47df-4cec-a670-87c4a6b08e03" targetNamespace="http://schemas.microsoft.com/office/2006/metadata/properties" ma:root="true" ma:fieldsID="fb06d8ece36d2509e807bf3665c7b826" ns2:_="" ns3:_="">
    <xsd:import namespace="cd6d0250-26e6-4018-96cc-9d4b267bf602"/>
    <xsd:import namespace="ba7ac31c-47df-4cec-a670-87c4a6b08e0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d6d0250-26e6-4018-96cc-9d4b267bf6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36b254e-62ae-4d77-9234-28b9d25c55e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a7ac31c-47df-4cec-a670-87c4a6b08e0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3b74265-7ca9-4846-a86d-599cc4d293c9}" ma:internalName="TaxCatchAll" ma:showField="CatchAllData" ma:web="ba7ac31c-47df-4cec-a670-87c4a6b08e0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CDF4DAF-E893-439E-B96A-FDDC553C23F6}"/>
</file>

<file path=customXml/itemProps2.xml><?xml version="1.0" encoding="utf-8"?>
<ds:datastoreItem xmlns:ds="http://schemas.openxmlformats.org/officeDocument/2006/customXml" ds:itemID="{B084776E-082B-40CC-AA8C-6737B3FB6F94}"/>
</file>

<file path=customXml/itemProps3.xml><?xml version="1.0" encoding="utf-8"?>
<ds:datastoreItem xmlns:ds="http://schemas.openxmlformats.org/officeDocument/2006/customXml" ds:itemID="{6B9D4B7A-D008-4C60-802A-75BFBA3C6717}"/>
</file>

<file path=docProps/app.xml><?xml version="1.0" encoding="utf-8"?>
<Properties xmlns="http://schemas.openxmlformats.org/officeDocument/2006/extended-properties" xmlns:vt="http://schemas.openxmlformats.org/officeDocument/2006/docPropsVTypes">
  <Template/>
  <TotalTime>0</TotalTime>
  <Application>LibreOffice/25.2.2.2$Linux_X86_64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2022-10-14T09:37:34Z</dcterms:created>
  <dc:creator>Joe Carlton</dc:creator>
  <dc:description/>
  <dc:language>en-IN</dc:language>
  <cp:lastModifiedBy>Guest User</cp:lastModifiedBy>
  <dcterms:modified xsi:type="dcterms:W3CDTF">2025-10-01T09:49:37Z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0x010100693564D6C4D0CB46BB0B3867B66CB08A</vt:lpwstr>
  </property>
  <property fmtid="{D5CDD505-2E9C-101B-9397-08002B2CF9AE}" pid="4" name="GUID">
    <vt:lpwstr>165314a3-5b25-4ee0-8565-d3f5b285e681</vt:lpwstr>
  </property>
  <property fmtid="{D5CDD505-2E9C-101B-9397-08002B2CF9AE}" pid="5" name="MediaServiceImageTags">
    <vt:lpwstr/>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lpwstr/>
  </property>
</Properties>
</file>